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6F993C5D-494C-42DB-A43D-48B75093A24C}" xr6:coauthVersionLast="47" xr6:coauthVersionMax="47" xr10:uidLastSave="{00000000-0000-0000-0000-000000000000}"/>
  <bookViews>
    <workbookView minimized="1" xWindow="5235" yWindow="4185" windowWidth="21600" windowHeight="11295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2" l="1"/>
  <c r="Q33" i="2"/>
  <c r="Q36" i="2"/>
  <c r="S36" i="2"/>
  <c r="R36" i="2"/>
  <c r="P36" i="2"/>
  <c r="O36" i="2"/>
  <c r="N36" i="2"/>
  <c r="M36" i="2"/>
  <c r="K36" i="2"/>
  <c r="U33" i="2"/>
  <c r="V33" i="2" s="1"/>
  <c r="T33" i="2"/>
  <c r="S33" i="2"/>
  <c r="R33" i="2"/>
  <c r="P33" i="2"/>
  <c r="O33" i="2"/>
  <c r="N33" i="2"/>
  <c r="M33" i="2"/>
  <c r="L33" i="2"/>
  <c r="K33" i="2"/>
  <c r="M28" i="2"/>
  <c r="N13" i="2"/>
  <c r="N14" i="2"/>
  <c r="N9" i="2"/>
  <c r="N20" i="2"/>
  <c r="N19" i="2"/>
  <c r="N18" i="2"/>
  <c r="N17" i="2"/>
  <c r="N15" i="2"/>
  <c r="N11" i="2"/>
  <c r="N12" i="2"/>
  <c r="N10" i="2"/>
  <c r="N16" i="2"/>
  <c r="I7" i="2"/>
</calcChain>
</file>

<file path=xl/sharedStrings.xml><?xml version="1.0" encoding="utf-8"?>
<sst xmlns="http://schemas.openxmlformats.org/spreadsheetml/2006/main" count="149" uniqueCount="142">
  <si>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</si>
  <si>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</si>
  <si>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</si>
  <si>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</si>
  <si>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</si>
  <si>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</si>
  <si>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</si>
  <si>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</si>
  <si>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</si>
  <si>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</si>
  <si>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</si>
  <si>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</si>
  <si>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</si>
  <si>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</si>
  <si>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</si>
  <si>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</si>
  <si>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</si>
  <si>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</si>
  <si>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</si>
  <si>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</si>
  <si>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</si>
  <si>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</si>
  <si>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</si>
  <si>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</si>
  <si>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</si>
  <si>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</si>
  <si>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</si>
  <si>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</si>
  <si>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</si>
  <si>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</si>
  <si>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</si>
  <si>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</si>
  <si>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</si>
  <si>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</si>
  <si>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</si>
  <si>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</si>
  <si>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</si>
  <si>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</si>
  <si>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</si>
  <si>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</si>
  <si>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</si>
  <si>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</si>
  <si>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</si>
  <si>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</si>
  <si>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</si>
  <si>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</si>
  <si>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</si>
  <si>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</si>
  <si>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</si>
  <si>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</si>
  <si>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</si>
  <si>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</si>
  <si>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</si>
  <si>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</si>
  <si>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</si>
  <si>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</si>
  <si>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</si>
  <si>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</si>
  <si>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</si>
  <si>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</si>
  <si>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</si>
  <si>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</si>
  <si>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</si>
  <si>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</si>
  <si>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</si>
  <si>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</si>
  <si>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</si>
  <si>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</si>
  <si>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</si>
  <si>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</si>
  <si>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</si>
  <si>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</si>
  <si>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</si>
  <si>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</si>
  <si>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</si>
  <si>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</si>
  <si>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</si>
  <si>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</si>
  <si>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</si>
  <si>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</si>
  <si>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</si>
  <si>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</si>
  <si>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</si>
  <si>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</si>
  <si>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</si>
  <si>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</si>
  <si>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</si>
  <si>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</si>
  <si>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</si>
  <si>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</si>
  <si>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</si>
  <si>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P144</t>
  </si>
  <si>
    <t>Wireless Charger</t>
  </si>
  <si>
    <t>P145</t>
  </si>
  <si>
    <t>USB-C Cable</t>
  </si>
  <si>
    <t>P146</t>
  </si>
  <si>
    <t>Gaming Desk</t>
  </si>
  <si>
    <t>COUNT</t>
  </si>
  <si>
    <t>COUNTIF</t>
  </si>
  <si>
    <t>COUNTIFS</t>
  </si>
  <si>
    <t>COUNTA</t>
  </si>
  <si>
    <t>COUNTBLANK</t>
  </si>
  <si>
    <t>MEAN</t>
  </si>
  <si>
    <t>MEDIAN</t>
  </si>
  <si>
    <t>MODE</t>
  </si>
  <si>
    <t>CORREL</t>
  </si>
  <si>
    <t>POPULATION</t>
  </si>
  <si>
    <t>STDEV</t>
  </si>
  <si>
    <t>SAMPLE</t>
  </si>
  <si>
    <t>STDEV.S</t>
  </si>
  <si>
    <t>VAR</t>
  </si>
  <si>
    <t>VAR.S</t>
  </si>
  <si>
    <t>Column1</t>
  </si>
  <si>
    <t>Column2</t>
  </si>
  <si>
    <t>Column3</t>
  </si>
  <si>
    <t>Column4</t>
  </si>
  <si>
    <t>Column5</t>
  </si>
  <si>
    <t>Column6</t>
  </si>
  <si>
    <t>Column7</t>
  </si>
  <si>
    <t>Statistical Functions</t>
  </si>
  <si>
    <t>ROUND</t>
  </si>
  <si>
    <t>SQRT</t>
  </si>
  <si>
    <t>AVERAGE</t>
  </si>
  <si>
    <t>MIN</t>
  </si>
  <si>
    <t>MAX</t>
  </si>
  <si>
    <t>SUM</t>
  </si>
  <si>
    <t>RANK</t>
  </si>
  <si>
    <t>LEFT</t>
  </si>
  <si>
    <t>RIGHT</t>
  </si>
  <si>
    <t>LENGTH</t>
  </si>
  <si>
    <t>DATE</t>
  </si>
  <si>
    <t>EOMONTH</t>
  </si>
  <si>
    <t>NETWORKDAYS</t>
  </si>
  <si>
    <t>WEEKDAY</t>
  </si>
  <si>
    <t>FIND</t>
  </si>
  <si>
    <t>REPLACE</t>
  </si>
  <si>
    <t>SUBSTITUTE</t>
  </si>
  <si>
    <t>CONCAT</t>
  </si>
  <si>
    <t>PRODUCT</t>
  </si>
  <si>
    <t>MOD</t>
  </si>
  <si>
    <t>FACT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</si>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</sst>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6"/>
      <color theme="1"/>
      <name val="Calibri"/>
      <family val="2"/>
    </font>
    <font>
      <sz val="8"/>
      <name val="Aptos Narrow"/>
      <family val="2"/>
      <scheme val="minor"/>
    </font>
    <font>
      <u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9E002E-2784-4501-A06C-AA77B3ACA47A}" name="Table1" displayName="Table1" ref="K6:Q21" totalsRowShown="0" headerRowDxfId="44" dataDxfId="43">
  <autoFilter ref="K6:Q21" xr:uid="{A79E002E-2784-4501-A06C-AA77B3ACA47A}"/>
  <tableColumns count="7">
    <tableColumn id="1" xr3:uid="{1ED40274-D17D-48DC-95D9-FDD5CEBBC53A}" name="Column1" dataDxfId="42"/>
    <tableColumn id="2" xr3:uid="{50B6AD39-BCBD-42DC-A90F-926C3DD81349}" name="Column2" dataDxfId="41"/>
    <tableColumn id="3" xr3:uid="{2C5CB003-43D0-4753-AF73-1DE4BB0E185A}" name="Column3" dataDxfId="40"/>
    <tableColumn id="4" xr3:uid="{F403164A-6BE2-442B-9005-267C16F7B518}" name="Column4" dataDxfId="39"/>
    <tableColumn id="5" xr3:uid="{51AE198F-B99B-4931-BA93-7C10B83A63EE}" name="Column5" dataDxfId="38"/>
    <tableColumn id="6" xr3:uid="{8D63DB8E-4778-4ABC-BF3A-9623B8DBDB1D}" name="Column6" dataDxfId="37"/>
    <tableColumn id="7" xr3:uid="{551FE46C-39E4-4ECC-B305-15E9CA511BC3}" name="Column7" dataDxfId="3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9C72F7-5027-4113-A655-37E13FC7DCBA}" name="Table2" displayName="Table2" ref="K31:V37" headerRowCount="0" headerRowDxfId="23" dataDxfId="24">
  <tableColumns count="12">
    <tableColumn id="1" xr3:uid="{C90D0886-102D-412C-8BEC-8EC9E65D72BB}" name="Column1" totalsRowLabel="Total" headerRowDxfId="1" dataDxfId="35" totalsRowDxfId="22"/>
    <tableColumn id="2" xr3:uid="{FD64A63A-5F14-4D38-968E-94A2C1A642D3}" name="Column2" dataDxfId="34" totalsRowDxfId="21"/>
    <tableColumn id="3" xr3:uid="{3D98D1B1-CD3B-4426-B7BF-D736D9620BDA}" name="Column3" headerRowDxfId="2" dataDxfId="33" totalsRowDxfId="20"/>
    <tableColumn id="4" xr3:uid="{EE484CAE-3546-40BA-B718-1E2620E23D75}" name="Column4" headerRowDxfId="3" dataDxfId="32" totalsRowDxfId="19"/>
    <tableColumn id="5" xr3:uid="{2A75875D-FF94-4A0F-8811-0A0DCC0DDD03}" name="Column5" headerRowDxfId="4" dataDxfId="31" totalsRowDxfId="18"/>
    <tableColumn id="6" xr3:uid="{65F8C12B-D429-4C4E-84DF-505FACC57BCA}" name="Column6" headerRowDxfId="5" dataDxfId="30" totalsRowDxfId="17"/>
    <tableColumn id="7" xr3:uid="{E4A9D975-6585-4A17-A951-F95C3FDF295B}" name="Column7" headerRowDxfId="6" dataDxfId="0"/>
    <tableColumn id="8" xr3:uid="{60FF15D1-2179-4686-81A1-3E4AF6F0D21C}" name="Column8" headerRowDxfId="7" dataDxfId="29" totalsRowDxfId="16"/>
    <tableColumn id="9" xr3:uid="{B1A7DB2E-A8F3-483A-A9FB-894949D497D1}" name="Column9" headerRowDxfId="8" dataDxfId="28" totalsRowDxfId="15"/>
    <tableColumn id="10" xr3:uid="{12304AC5-9888-4B2C-A08A-35ACA55B1261}" name="Column10" headerRowDxfId="9" dataDxfId="27" totalsRowDxfId="14"/>
    <tableColumn id="11" xr3:uid="{F4335F01-436F-4341-ACB1-7A3C50CD1174}" name="Column11" headerRowDxfId="10" dataDxfId="26" totalsRowDxfId="13"/>
    <tableColumn id="12" xr3:uid="{C039F57D-5762-406C-80A9-BB8143F0CB0E}" name="Column12" totalsRowFunction="count" headerRowDxfId="11" dataDxfId="25" totalsRowDxfId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V56"/>
  <sheetViews>
    <sheetView showGridLines="0" tabSelected="1" topLeftCell="A7" workbookViewId="0">
      <selection activeCell="K42" sqref="K42"/>
    </sheetView>
  </sheetViews>
  <sheetFormatPr defaultColWidth="8.85546875" defaultRowHeight="15" x14ac:dyDescent="0.25"/>
  <cols>
    <col min="1" max="1" width="3.5703125" style="1" customWidth="1"/>
    <col min="2" max="2" width="12.5703125" style="1" customWidth="1"/>
    <col min="3" max="3" width="20.85546875" style="1" customWidth="1"/>
    <col min="4" max="4" width="10.85546875" style="1" customWidth="1"/>
    <col min="5" max="5" width="12" style="1" customWidth="1"/>
    <col min="6" max="6" width="12.7109375" style="1" customWidth="1"/>
    <col min="7" max="7" width="10.5703125" style="1" customWidth="1"/>
    <col min="8" max="8" width="15.140625" style="1" customWidth="1"/>
    <col min="9" max="9" width="13.7109375" style="1" customWidth="1"/>
    <col min="10" max="10" width="8.85546875" style="1"/>
    <col min="11" max="11" width="15.28515625" style="1" customWidth="1"/>
    <col min="12" max="13" width="14.140625" style="1" customWidth="1"/>
    <col min="14" max="14" width="14.7109375" style="1" customWidth="1"/>
    <col min="15" max="15" width="14.140625" style="1" customWidth="1"/>
    <col min="16" max="16" width="23.85546875" style="1" customWidth="1"/>
    <col min="17" max="19" width="11" style="1" customWidth="1"/>
    <col min="20" max="22" width="12" style="1" customWidth="1"/>
    <col min="23" max="16384" width="8.85546875" style="1"/>
  </cols>
  <sheetData>
    <row r="2" spans="2:19" ht="19.5" thickBot="1" x14ac:dyDescent="0.3">
      <c r="B2" s="2" t="s">
        <v>0</v>
      </c>
      <c r="C2" s="2"/>
      <c r="D2" s="2"/>
      <c r="E2" s="2"/>
      <c r="F2" s="2"/>
      <c r="G2" s="2"/>
      <c r="H2" s="2"/>
      <c r="I2" s="2"/>
    </row>
    <row r="4" spans="2:19" ht="19.5" thickBot="1" x14ac:dyDescent="0.3">
      <c r="B4" s="3" t="s">
        <v>1</v>
      </c>
      <c r="C4" s="2"/>
      <c r="D4" s="2"/>
      <c r="E4" s="2"/>
      <c r="F4" s="2"/>
      <c r="G4" s="2"/>
      <c r="H4" s="2"/>
      <c r="I4" s="2"/>
    </row>
    <row r="6" spans="2:19" ht="31.5" x14ac:dyDescent="0.35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K6" s="1" t="s">
        <v>112</v>
      </c>
      <c r="L6" s="7" t="s">
        <v>113</v>
      </c>
      <c r="M6" s="7" t="s">
        <v>114</v>
      </c>
      <c r="N6" s="7" t="s">
        <v>115</v>
      </c>
      <c r="O6" s="7" t="s">
        <v>116</v>
      </c>
      <c r="P6" s="1" t="s">
        <v>117</v>
      </c>
      <c r="Q6" s="1" t="s">
        <v>118</v>
      </c>
      <c r="R6" s="7"/>
      <c r="S6" s="7"/>
    </row>
    <row r="7" spans="2:19" ht="21" x14ac:dyDescent="0.35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f ca="1">+N14+I7+I7:I30</f>
        <v>0</v>
      </c>
      <c r="L7" s="7"/>
      <c r="M7" s="8" t="s">
        <v>119</v>
      </c>
      <c r="N7" s="7"/>
      <c r="O7" s="7"/>
    </row>
    <row r="8" spans="2:19" x14ac:dyDescent="0.25">
      <c r="B8" s="6" t="s">
        <v>12</v>
      </c>
      <c r="C8" s="6" t="s">
        <v>13</v>
      </c>
      <c r="D8" s="6">
        <v>1</v>
      </c>
      <c r="E8" s="6">
        <v>15</v>
      </c>
      <c r="F8" s="6">
        <v>1</v>
      </c>
      <c r="G8" s="6">
        <v>50</v>
      </c>
      <c r="H8" s="6">
        <v>500</v>
      </c>
      <c r="I8" s="6">
        <v>25000</v>
      </c>
    </row>
    <row r="9" spans="2:19" x14ac:dyDescent="0.25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  <c r="M9" s="1" t="s">
        <v>97</v>
      </c>
      <c r="N9" s="1">
        <f>COUNT(D:D)</f>
        <v>46</v>
      </c>
    </row>
    <row r="10" spans="2:19" x14ac:dyDescent="0.25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  <c r="M10" s="1" t="s">
        <v>98</v>
      </c>
      <c r="N10" s="1">
        <f>COUNTIF(H:H,"&gt;500")</f>
        <v>4</v>
      </c>
    </row>
    <row r="11" spans="2:19" x14ac:dyDescent="0.25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  <c r="M11" s="1" t="s">
        <v>100</v>
      </c>
      <c r="N11" s="1">
        <f>COUNTA(E7:E56)</f>
        <v>48</v>
      </c>
    </row>
    <row r="12" spans="2:19" x14ac:dyDescent="0.25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  <c r="M12" s="1" t="s">
        <v>101</v>
      </c>
      <c r="N12" s="1">
        <f>COUNTBLANK(G7:G55)</f>
        <v>2</v>
      </c>
    </row>
    <row r="13" spans="2:19" x14ac:dyDescent="0.25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  <c r="M13" s="1" t="s">
        <v>99</v>
      </c>
      <c r="N13" s="1">
        <f>COUNTIFS(D7:D52,"=1",F7:F52,"=1")</f>
        <v>1</v>
      </c>
    </row>
    <row r="14" spans="2:19" x14ac:dyDescent="0.25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  <c r="M14" s="1" t="s">
        <v>102</v>
      </c>
      <c r="N14" s="1">
        <f>GEOMEAN(H7:H52)</f>
        <v>59.790101317998257</v>
      </c>
    </row>
    <row r="15" spans="2:19" x14ac:dyDescent="0.25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  <c r="M15" s="1" t="s">
        <v>103</v>
      </c>
      <c r="N15" s="1">
        <f>MEDIAN(D17:D23)</f>
        <v>35</v>
      </c>
    </row>
    <row r="16" spans="2:19" x14ac:dyDescent="0.25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  <c r="M16" s="1" t="s">
        <v>105</v>
      </c>
      <c r="N16" s="1">
        <f ca="1">CORREL(H7:H52,I7:I52)</f>
        <v>0.9666769788287809</v>
      </c>
    </row>
    <row r="17" spans="2:22" x14ac:dyDescent="0.25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  <c r="K17" s="1" t="s">
        <v>106</v>
      </c>
      <c r="M17" s="1" t="s">
        <v>107</v>
      </c>
      <c r="N17" s="1">
        <f>_xlfn.STDEV.P(H7:H52)</f>
        <v>247.17709836959432</v>
      </c>
    </row>
    <row r="18" spans="2:22" x14ac:dyDescent="0.25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  <c r="K18" s="1" t="s">
        <v>108</v>
      </c>
      <c r="M18" s="1" t="s">
        <v>109</v>
      </c>
      <c r="N18" s="1">
        <f>_xlfn.STDEV.S(H7:H52)</f>
        <v>249.9084199411615</v>
      </c>
    </row>
    <row r="19" spans="2:22" x14ac:dyDescent="0.25">
      <c r="B19" s="6" t="s">
        <v>34</v>
      </c>
      <c r="C19" s="6" t="s">
        <v>11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  <c r="K19" s="1" t="s">
        <v>106</v>
      </c>
      <c r="M19" s="1" t="s">
        <v>110</v>
      </c>
      <c r="N19" s="1">
        <f>_xlfn.VAR.P(H7:H52)</f>
        <v>61096.5179584121</v>
      </c>
    </row>
    <row r="20" spans="2:22" x14ac:dyDescent="0.25">
      <c r="B20" s="6" t="s">
        <v>35</v>
      </c>
      <c r="C20" s="6" t="s">
        <v>36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  <c r="K20" s="1" t="s">
        <v>108</v>
      </c>
      <c r="M20" s="1" t="s">
        <v>111</v>
      </c>
      <c r="N20" s="1">
        <f>_xlfn.VAR.S(H7:H52)</f>
        <v>62454.218357487924</v>
      </c>
    </row>
    <row r="21" spans="2:22" x14ac:dyDescent="0.25">
      <c r="B21" s="6" t="s">
        <v>37</v>
      </c>
      <c r="C21" s="6" t="s">
        <v>38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22" x14ac:dyDescent="0.25">
      <c r="B22" s="6" t="s">
        <v>39</v>
      </c>
      <c r="C22" s="6" t="s">
        <v>40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22" x14ac:dyDescent="0.25">
      <c r="B23" s="6" t="s">
        <v>41</v>
      </c>
      <c r="C23" s="6" t="s">
        <v>42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22" x14ac:dyDescent="0.25">
      <c r="B24" s="6" t="s">
        <v>43</v>
      </c>
      <c r="C24" s="6" t="s">
        <v>44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22" x14ac:dyDescent="0.25">
      <c r="B25" s="6" t="s">
        <v>45</v>
      </c>
      <c r="C25" s="6" t="s">
        <v>46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22" x14ac:dyDescent="0.25">
      <c r="B26" s="6" t="s">
        <v>47</v>
      </c>
      <c r="C26" s="6" t="s">
        <v>11</v>
      </c>
      <c r="D26" s="6">
        <v>2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22" x14ac:dyDescent="0.25">
      <c r="B27" s="6" t="s">
        <v>48</v>
      </c>
      <c r="C27" s="6" t="s">
        <v>49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22" x14ac:dyDescent="0.25">
      <c r="B28" s="6" t="s">
        <v>50</v>
      </c>
      <c r="C28" s="6" t="s">
        <v>51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  <c r="L28" s="1" t="s">
        <v>104</v>
      </c>
      <c r="M28" s="1">
        <f>MODE(D9:D25)</f>
        <v>30</v>
      </c>
    </row>
    <row r="29" spans="2:22" x14ac:dyDescent="0.25">
      <c r="B29" s="6" t="s">
        <v>52</v>
      </c>
      <c r="C29" s="6" t="s">
        <v>53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22" x14ac:dyDescent="0.25">
      <c r="B30" s="6" t="s">
        <v>54</v>
      </c>
      <c r="C30" s="6" t="s">
        <v>55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  <c r="K30"/>
      <c r="L30"/>
      <c r="M30"/>
      <c r="N30"/>
      <c r="O30"/>
      <c r="P30"/>
      <c r="Q30"/>
      <c r="R30"/>
      <c r="S30"/>
      <c r="T30"/>
      <c r="U30"/>
      <c r="V30"/>
    </row>
    <row r="31" spans="2:22" x14ac:dyDescent="0.25">
      <c r="B31" s="6" t="s">
        <v>56</v>
      </c>
      <c r="C31" s="6" t="s">
        <v>57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  <c r="K31" s="1">
        <v>3.9845320000000002</v>
      </c>
    </row>
    <row r="32" spans="2:22" x14ac:dyDescent="0.25">
      <c r="B32" s="6" t="s">
        <v>58</v>
      </c>
      <c r="C32" s="6" t="s">
        <v>59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  <c r="K32" s="1" t="s">
        <v>120</v>
      </c>
      <c r="L32" s="1" t="s">
        <v>121</v>
      </c>
      <c r="M32" s="1" t="s">
        <v>122</v>
      </c>
      <c r="N32" s="1" t="s">
        <v>123</v>
      </c>
      <c r="O32" s="1" t="s">
        <v>124</v>
      </c>
      <c r="P32" s="1" t="s">
        <v>125</v>
      </c>
      <c r="Q32" s="1" t="s">
        <v>126</v>
      </c>
      <c r="R32" s="1" t="s">
        <v>127</v>
      </c>
      <c r="S32" s="1" t="s">
        <v>128</v>
      </c>
      <c r="T32" s="1" t="s">
        <v>129</v>
      </c>
      <c r="U32" s="1" t="s">
        <v>130</v>
      </c>
      <c r="V32" s="1" t="s">
        <v>131</v>
      </c>
    </row>
    <row r="33" spans="2:22" x14ac:dyDescent="0.25">
      <c r="B33" s="6" t="s">
        <v>60</v>
      </c>
      <c r="C33" s="6" t="s">
        <v>61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  <c r="K33" s="1">
        <f>ROUND(K31,4)</f>
        <v>3.9845000000000002</v>
      </c>
      <c r="L33" s="1">
        <f>SQRT(I19)</f>
        <v>35.496478698597699</v>
      </c>
      <c r="M33" s="1">
        <f>AVERAGE(D7:D52)</f>
        <v>34.847826086956523</v>
      </c>
      <c r="N33" s="9">
        <f>MIN(E7:E52)</f>
        <v>6</v>
      </c>
      <c r="O33" s="9">
        <f>MAX(E7:E52)</f>
        <v>30</v>
      </c>
      <c r="P33" s="9">
        <f>SUM(F7:F52)</f>
        <v>310</v>
      </c>
      <c r="Q33" s="1">
        <f>RANK(H8,H7:H52)</f>
        <v>5</v>
      </c>
      <c r="R33" s="1" t="str">
        <f>LEFT(C8,2)</f>
        <v>Mo</v>
      </c>
      <c r="S33" s="1" t="str">
        <f>RIGHT(C10,6)</f>
        <v>phones</v>
      </c>
      <c r="T33" s="9">
        <f>LEN(C14)</f>
        <v>19</v>
      </c>
      <c r="U33" s="10">
        <f ca="1">TODAY()</f>
        <v>46177</v>
      </c>
      <c r="V33" s="1">
        <f ca="1">EOMONTH(U33,3)</f>
        <v>46295</v>
      </c>
    </row>
    <row r="34" spans="2:22" x14ac:dyDescent="0.25">
      <c r="B34" s="6" t="s">
        <v>62</v>
      </c>
      <c r="C34" s="6" t="s">
        <v>63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  <c r="N34" s="9"/>
    </row>
    <row r="35" spans="2:22" x14ac:dyDescent="0.25">
      <c r="B35" s="6" t="s">
        <v>64</v>
      </c>
      <c r="C35" s="6" t="s">
        <v>65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  <c r="K35" s="1" t="s">
        <v>132</v>
      </c>
      <c r="L35" s="1" t="s">
        <v>133</v>
      </c>
      <c r="M35" s="1" t="s">
        <v>134</v>
      </c>
      <c r="N35" s="1" t="s">
        <v>135</v>
      </c>
      <c r="O35" s="1" t="s">
        <v>136</v>
      </c>
      <c r="P35" s="1" t="s">
        <v>137</v>
      </c>
      <c r="Q35" s="1" t="s">
        <v>138</v>
      </c>
      <c r="R35" s="1" t="s">
        <v>139</v>
      </c>
      <c r="S35" s="1" t="s">
        <v>140</v>
      </c>
    </row>
    <row r="36" spans="2:22" x14ac:dyDescent="0.25">
      <c r="B36" s="6" t="s">
        <v>66</v>
      </c>
      <c r="C36" s="6" t="s">
        <v>67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  <c r="K36" s="1" t="e">
        <f>NETWORKDAYS(4-6-26,15-6-2026,2)</f>
        <v>#NUM!</v>
      </c>
      <c r="M36" s="9">
        <f>FIND("Keyboard",C23)</f>
        <v>8</v>
      </c>
      <c r="N36" s="1" t="str">
        <f>REPLACE(C27,1,6,"Editing")</f>
        <v>Editing Monitor</v>
      </c>
      <c r="O36" s="1" t="str">
        <f>SUBSTITUTE(C30,"Mother","Black")</f>
        <v>Blackboard</v>
      </c>
      <c r="P36" s="1" t="str">
        <f>_xlfn.CONCAT(C20:C21)</f>
        <v>Ethernet CablePower Strip</v>
      </c>
      <c r="Q36" s="1">
        <f>PRODUCT(G25:G27)</f>
        <v>13775</v>
      </c>
      <c r="R36" s="1">
        <f>MOD(I27,3)</f>
        <v>2</v>
      </c>
      <c r="S36" s="9">
        <f>FACT(F30)</f>
        <v>120</v>
      </c>
    </row>
    <row r="37" spans="2:22" x14ac:dyDescent="0.25">
      <c r="B37" s="6" t="s">
        <v>68</v>
      </c>
      <c r="C37" s="6" t="s">
        <v>69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22" x14ac:dyDescent="0.25">
      <c r="B38" s="6" t="s">
        <v>70</v>
      </c>
      <c r="C38" s="6" t="s">
        <v>11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22" x14ac:dyDescent="0.25">
      <c r="B39" s="6" t="s">
        <v>71</v>
      </c>
      <c r="C39" s="6" t="s">
        <v>72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22" x14ac:dyDescent="0.25">
      <c r="B40" s="6" t="s">
        <v>73</v>
      </c>
      <c r="C40" s="6" t="s">
        <v>74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  <c r="K40" s="1" t="s">
        <v>141</v>
      </c>
    </row>
    <row r="41" spans="2:22" x14ac:dyDescent="0.25">
      <c r="B41" s="6" t="s">
        <v>75</v>
      </c>
      <c r="C41" s="6" t="s">
        <v>76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  <c r="K41" s="9">
        <f>SUMIF(D7:D25,"Tablet=50")</f>
        <v>0</v>
      </c>
    </row>
    <row r="42" spans="2:22" x14ac:dyDescent="0.25">
      <c r="B42" s="6" t="s">
        <v>77</v>
      </c>
      <c r="C42" s="6" t="s">
        <v>78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22" x14ac:dyDescent="0.25">
      <c r="B43" s="6" t="s">
        <v>79</v>
      </c>
      <c r="C43" s="6" t="s">
        <v>11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22" x14ac:dyDescent="0.25">
      <c r="B44" s="6" t="s">
        <v>80</v>
      </c>
      <c r="C44" s="6" t="s">
        <v>81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22" x14ac:dyDescent="0.25">
      <c r="B45" s="6" t="s">
        <v>82</v>
      </c>
      <c r="C45" s="6" t="s">
        <v>83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22" x14ac:dyDescent="0.25">
      <c r="B46" s="6" t="s">
        <v>84</v>
      </c>
      <c r="C46" s="6" t="s">
        <v>85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22" x14ac:dyDescent="0.25">
      <c r="B47" s="6" t="s">
        <v>86</v>
      </c>
      <c r="C47" s="6" t="s">
        <v>87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22" x14ac:dyDescent="0.25">
      <c r="B48" s="6" t="s">
        <v>88</v>
      </c>
      <c r="C48" s="6" t="s">
        <v>89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 x14ac:dyDescent="0.25">
      <c r="B49" s="6" t="s">
        <v>90</v>
      </c>
      <c r="C49" s="6" t="s">
        <v>11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 x14ac:dyDescent="0.25">
      <c r="B50" s="6" t="s">
        <v>91</v>
      </c>
      <c r="C50" s="6" t="s">
        <v>92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 x14ac:dyDescent="0.25">
      <c r="B51" s="6" t="s">
        <v>93</v>
      </c>
      <c r="C51" s="6" t="s">
        <v>94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 x14ac:dyDescent="0.25">
      <c r="B52" s="6" t="s">
        <v>95</v>
      </c>
      <c r="C52" s="6" t="s">
        <v>96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  <row r="53" spans="2:9" x14ac:dyDescent="0.25">
      <c r="E53" s="6"/>
      <c r="G53" s="6"/>
    </row>
    <row r="54" spans="2:9" x14ac:dyDescent="0.25">
      <c r="E54" s="6">
        <v>12</v>
      </c>
      <c r="G54" s="6"/>
    </row>
    <row r="55" spans="2:9" x14ac:dyDescent="0.25">
      <c r="E55" s="6">
        <v>13</v>
      </c>
      <c r="G55" s="6">
        <v>28</v>
      </c>
    </row>
    <row r="56" spans="2:9" x14ac:dyDescent="0.25">
      <c r="E56" s="6"/>
    </row>
  </sheetData>
  <phoneticPr fontId="7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MITS</cp:lastModifiedBy>
  <dcterms:created xsi:type="dcterms:W3CDTF">2024-02-19T11:46:38Z</dcterms:created>
  <dcterms:modified xsi:type="dcterms:W3CDTF">2026-06-04T07:24:55Z</dcterms:modified>
</cp:coreProperties>
</file>