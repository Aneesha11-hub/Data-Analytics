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13_ncr:1_{6DDFA7D3-396D-4966-8551-2A6B65AB7478}" xr6:coauthVersionLast="47" xr6:coauthVersionMax="47" xr10:uidLastSave="{00000000-0000-0000-0000-000000000000}"/>
  <bookViews>
    <workbookView minimized="1" xWindow="5235" yWindow="4185" windowWidth="21600" windowHeight="11295" xr2:uid="{7FFF80FC-26F3-4121-8485-996C082B5A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N22" i="1"/>
  <c r="N23" i="1"/>
  <c r="N24" i="1"/>
  <c r="N25" i="1"/>
  <c r="N26" i="1"/>
  <c r="N27" i="1"/>
  <c r="N28" i="1"/>
  <c r="N29" i="1"/>
  <c r="N30" i="1"/>
  <c r="N31" i="1"/>
  <c r="N32" i="1"/>
  <c r="N33" i="1"/>
  <c r="N21" i="1"/>
  <c r="M22" i="1"/>
  <c r="M23" i="1"/>
  <c r="M24" i="1"/>
  <c r="M25" i="1"/>
  <c r="M26" i="1"/>
  <c r="M27" i="1"/>
  <c r="M28" i="1"/>
  <c r="M29" i="1"/>
  <c r="M30" i="1"/>
  <c r="M31" i="1"/>
  <c r="M32" i="1"/>
  <c r="M33" i="1"/>
  <c r="M21" i="1"/>
  <c r="P7" i="1"/>
  <c r="P8" i="1"/>
  <c r="P11" i="1"/>
  <c r="P12" i="1"/>
  <c r="P13" i="1"/>
  <c r="P14" i="1"/>
  <c r="P16" i="1"/>
  <c r="P6" i="1"/>
  <c r="O7" i="1"/>
  <c r="O8" i="1"/>
  <c r="O9" i="1"/>
  <c r="O10" i="1"/>
  <c r="O11" i="1"/>
  <c r="O12" i="1"/>
  <c r="O13" i="1"/>
  <c r="O14" i="1"/>
  <c r="O15" i="1"/>
  <c r="O16" i="1"/>
  <c r="O6" i="1"/>
  <c r="N7" i="1"/>
  <c r="N8" i="1"/>
  <c r="N9" i="1"/>
  <c r="P9" i="1" s="1"/>
  <c r="N10" i="1"/>
  <c r="P10" i="1" s="1"/>
  <c r="N11" i="1"/>
  <c r="N12" i="1"/>
  <c r="N13" i="1"/>
  <c r="N14" i="1"/>
  <c r="N15" i="1"/>
  <c r="P15" i="1" s="1"/>
  <c r="N16" i="1"/>
  <c r="N6" i="1"/>
  <c r="M7" i="1"/>
  <c r="M8" i="1"/>
  <c r="M9" i="1"/>
  <c r="M10" i="1"/>
  <c r="M11" i="1"/>
  <c r="M12" i="1"/>
  <c r="M13" i="1"/>
  <c r="M14" i="1"/>
  <c r="M15" i="1"/>
  <c r="M16" i="1"/>
  <c r="M6" i="1"/>
  <c r="F6" i="1"/>
</calcChain>
</file>

<file path=xl/sharedStrings.xml><?xml version="1.0" encoding="utf-8"?>
<sst xmlns="http://schemas.openxmlformats.org/spreadsheetml/2006/main" count="60" uniqueCount="35">
  <si>
    <t>NAME</t>
  </si>
  <si>
    <t>A</t>
  </si>
  <si>
    <t>B</t>
  </si>
  <si>
    <t>C</t>
  </si>
  <si>
    <t>D</t>
  </si>
  <si>
    <t>E</t>
  </si>
  <si>
    <t>F</t>
  </si>
  <si>
    <t>G</t>
  </si>
  <si>
    <t>MARKS</t>
  </si>
  <si>
    <t>RESULT</t>
  </si>
  <si>
    <t>if condition</t>
  </si>
  <si>
    <t>ENGLISH</t>
  </si>
  <si>
    <t>MATH</t>
  </si>
  <si>
    <t>H</t>
  </si>
  <si>
    <t>I</t>
  </si>
  <si>
    <t>J</t>
  </si>
  <si>
    <t>K</t>
  </si>
  <si>
    <t>AND</t>
  </si>
  <si>
    <t>OR</t>
  </si>
  <si>
    <t>Result(and)</t>
  </si>
  <si>
    <t>Resukt(or)</t>
  </si>
  <si>
    <t>Column1</t>
  </si>
  <si>
    <t>Column2</t>
  </si>
  <si>
    <t>Column3</t>
  </si>
  <si>
    <t>Column4</t>
  </si>
  <si>
    <t>Column5</t>
  </si>
  <si>
    <t>Column6</t>
  </si>
  <si>
    <t>Column7</t>
  </si>
  <si>
    <t>HINDI</t>
  </si>
  <si>
    <t>L</t>
  </si>
  <si>
    <t>M</t>
  </si>
  <si>
    <t>RESULT1</t>
  </si>
  <si>
    <t>RESULT2</t>
  </si>
  <si>
    <t>Else-if condition</t>
  </si>
  <si>
    <t>Logical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</si>
</sst>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08171-4911-429E-A2D8-5524EA2C9A95}" name="Table1" displayName="Table1" ref="D5:F16" totalsRowShown="0" headerRowCellStyle="Normal" dataCellStyle="Normal">
  <autoFilter ref="D5:F16" xr:uid="{40C08171-4911-429E-A2D8-5524EA2C9A95}"/>
  <tableColumns count="3">
    <tableColumn id="1" xr3:uid="{EC88F9A2-ACEC-493C-A759-30DCABB4AC72}" name="NAME" dataCellStyle="Normal"/>
    <tableColumn id="2" xr3:uid="{AC66384F-9300-4364-B765-639616D3000E}" name="MARKS" dataCellStyle="Normal"/>
    <tableColumn id="3" xr3:uid="{32CE85B5-363F-4444-A6BD-ACDAFD384764}" name="RESULT" dataCellStyle="Normal">
      <calculatedColumnFormula>IF(E6&lt;35,"Fail","Pass")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14267F-4A15-4FE1-8A3A-11D59EE328E9}" name="Table2" displayName="Table2" ref="J4:P16" totalsRowShown="0">
  <autoFilter ref="J4:P16" xr:uid="{9414267F-4A15-4FE1-8A3A-11D59EE328E9}"/>
  <tableColumns count="7">
    <tableColumn id="1" xr3:uid="{3C43E282-34E2-4078-A5CD-25ACFE8B0B40}" name="Column1"/>
    <tableColumn id="2" xr3:uid="{C2B4D8A9-E9BE-4884-AB38-956DAACA8717}" name="Column2"/>
    <tableColumn id="3" xr3:uid="{897D33DE-439E-4DD1-8C38-7C06B07411EE}" name="Column3"/>
    <tableColumn id="4" xr3:uid="{687DEDE5-717D-497C-8E9C-F56088B49B9A}" name="Column4">
      <calculatedColumnFormula>AND(K5&gt;35,L5&lt;35)</calculatedColumnFormula>
    </tableColumn>
    <tableColumn id="5" xr3:uid="{45080360-12BC-4BDC-86C5-03BACC45550D}" name="Column5">
      <calculatedColumnFormula>OR(K5&lt;35,L5&gt;35)</calculatedColumnFormula>
    </tableColumn>
    <tableColumn id="6" xr3:uid="{8FA52AD7-0FE7-4E12-AC9E-BBCFC1271E5E}" name="Column6">
      <calculatedColumnFormula>IF(M5,"Pass","Fail")</calculatedColumnFormula>
    </tableColumn>
    <tableColumn id="7" xr3:uid="{1A6BE6C3-D3ED-4DB1-B46B-2826E71CFAE4}" name="Column7">
      <calculatedColumnFormula>IF(N5,"Fail","Pass")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912834-9BA3-40C2-A126-58F60D94AA05}" name="Table3" displayName="Table3" ref="J20:N33" totalsRowShown="0">
  <autoFilter ref="J20:N33" xr:uid="{16912834-9BA3-40C2-A126-58F60D94AA05}"/>
  <tableColumns count="5">
    <tableColumn id="1" xr3:uid="{870A20F9-DE46-4AFF-A4B6-6C9C9542E584}" name="NAME"/>
    <tableColumn id="2" xr3:uid="{862FAB32-E545-410C-A78D-58297E0CBB45}" name="MATH"/>
    <tableColumn id="3" xr3:uid="{853BA109-CC4B-4A60-BE8D-82ADF04015C0}" name="HINDI"/>
    <tableColumn id="4" xr3:uid="{9E24D371-1EF8-49DD-ACD6-FF8593682C4F}" name="RESULT1">
      <calculatedColumnFormula>IF(K21&gt;=90,"A",IF(K21&gt;=75,"B",IF(K21&gt;=45,"C","D")))</calculatedColumnFormula>
    </tableColumn>
    <tableColumn id="5" xr3:uid="{A8D97766-D4FE-4379-BE57-B4842A6E68B4}" name="RESULT2">
      <calculatedColumnFormula>IF(AVERAGE(K21,L21)&gt;35,"Pass","Fail")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31AC-3EED-457D-9033-0C044B61DBD8}">
  <dimension ref="D3:P33"/>
  <sheetViews>
    <sheetView tabSelected="1" zoomScale="115" zoomScaleNormal="115" workbookViewId="0">
      <selection activeCell="Q24" sqref="Q24"/>
    </sheetView>
  </sheetViews>
  <sheetFormatPr defaultRowHeight="15" x14ac:dyDescent="0.25"/>
  <cols>
    <col min="10" max="12" width="10.140625" customWidth="1"/>
    <col min="13" max="14" width="10.28515625" customWidth="1"/>
    <col min="15" max="16" width="10.140625" customWidth="1"/>
  </cols>
  <sheetData>
    <row r="3" spans="4:16" x14ac:dyDescent="0.25">
      <c r="M3" t="s">
        <v>34</v>
      </c>
    </row>
    <row r="4" spans="4:16" x14ac:dyDescent="0.25">
      <c r="D4" s="1"/>
      <c r="E4" s="1" t="s">
        <v>10</v>
      </c>
      <c r="F4" s="1"/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</row>
    <row r="5" spans="4:16" x14ac:dyDescent="0.25">
      <c r="D5" t="s">
        <v>0</v>
      </c>
      <c r="E5" t="s">
        <v>8</v>
      </c>
      <c r="F5" t="s">
        <v>9</v>
      </c>
      <c r="J5" t="s">
        <v>0</v>
      </c>
      <c r="K5" t="s">
        <v>11</v>
      </c>
      <c r="L5" t="s">
        <v>12</v>
      </c>
      <c r="M5" t="s">
        <v>17</v>
      </c>
      <c r="N5" t="s">
        <v>18</v>
      </c>
      <c r="O5" t="s">
        <v>19</v>
      </c>
      <c r="P5" t="s">
        <v>20</v>
      </c>
    </row>
    <row r="6" spans="4:16" x14ac:dyDescent="0.25">
      <c r="D6" t="s">
        <v>1</v>
      </c>
      <c r="E6">
        <v>65</v>
      </c>
      <c r="F6" t="str">
        <f>IF(E6&lt;35,"Fail","Pass")</f>
        <v>Pass</v>
      </c>
      <c r="J6" t="s">
        <v>1</v>
      </c>
      <c r="K6">
        <v>45</v>
      </c>
      <c r="L6">
        <v>23</v>
      </c>
      <c r="M6" t="b">
        <f>AND(K6&gt;35,L6&lt;35)</f>
        <v>1</v>
      </c>
      <c r="N6" t="b">
        <f>OR(K6&lt;35,L6&gt;35)</f>
        <v>0</v>
      </c>
      <c r="O6" t="str">
        <f>IF(M6,"Pass","Fail")</f>
        <v>Pass</v>
      </c>
      <c r="P6" t="str">
        <f>IF(N6,"Fail","Pass")</f>
        <v>Pass</v>
      </c>
    </row>
    <row r="7" spans="4:16" x14ac:dyDescent="0.25">
      <c r="D7" t="s">
        <v>2</v>
      </c>
      <c r="E7">
        <v>32</v>
      </c>
      <c r="F7" t="str">
        <f t="shared" ref="F7:F16" si="0">IF(E7&lt;35,"Fail","Pass")</f>
        <v>Fail</v>
      </c>
      <c r="J7" t="s">
        <v>2</v>
      </c>
      <c r="K7">
        <v>78</v>
      </c>
      <c r="L7">
        <v>78</v>
      </c>
      <c r="M7" t="b">
        <f t="shared" ref="M7:M16" si="1">AND(K7&gt;35,L7&lt;35)</f>
        <v>0</v>
      </c>
      <c r="N7" t="b">
        <f t="shared" ref="N7:N16" si="2">OR(K7&lt;35,L7&gt;35)</f>
        <v>1</v>
      </c>
      <c r="O7" t="str">
        <f t="shared" ref="O7:O16" si="3">IF(M7,"Pass","Fail")</f>
        <v>Fail</v>
      </c>
      <c r="P7" t="str">
        <f t="shared" ref="P7:P16" si="4">IF(N7,"Fail","Pass")</f>
        <v>Fail</v>
      </c>
    </row>
    <row r="8" spans="4:16" x14ac:dyDescent="0.25">
      <c r="D8" t="s">
        <v>3</v>
      </c>
      <c r="E8">
        <v>15</v>
      </c>
      <c r="F8" t="str">
        <f t="shared" si="0"/>
        <v>Fail</v>
      </c>
      <c r="J8" t="s">
        <v>3</v>
      </c>
      <c r="K8">
        <v>67</v>
      </c>
      <c r="L8">
        <v>90</v>
      </c>
      <c r="M8" t="b">
        <f t="shared" si="1"/>
        <v>0</v>
      </c>
      <c r="N8" t="b">
        <f t="shared" si="2"/>
        <v>1</v>
      </c>
      <c r="O8" t="str">
        <f t="shared" si="3"/>
        <v>Fail</v>
      </c>
      <c r="P8" t="str">
        <f t="shared" si="4"/>
        <v>Fail</v>
      </c>
    </row>
    <row r="9" spans="4:16" x14ac:dyDescent="0.25">
      <c r="D9" t="s">
        <v>4</v>
      </c>
      <c r="E9">
        <v>89</v>
      </c>
      <c r="F9" t="str">
        <f t="shared" si="0"/>
        <v>Pass</v>
      </c>
      <c r="J9" t="s">
        <v>4</v>
      </c>
      <c r="K9">
        <v>90</v>
      </c>
      <c r="L9">
        <v>45</v>
      </c>
      <c r="M9" t="b">
        <f t="shared" si="1"/>
        <v>0</v>
      </c>
      <c r="N9" t="b">
        <f t="shared" si="2"/>
        <v>1</v>
      </c>
      <c r="O9" t="str">
        <f t="shared" si="3"/>
        <v>Fail</v>
      </c>
      <c r="P9" t="str">
        <f t="shared" si="4"/>
        <v>Fail</v>
      </c>
    </row>
    <row r="10" spans="4:16" x14ac:dyDescent="0.25">
      <c r="D10" t="s">
        <v>5</v>
      </c>
      <c r="E10">
        <v>90</v>
      </c>
      <c r="F10" t="str">
        <f t="shared" si="0"/>
        <v>Pass</v>
      </c>
      <c r="J10" t="s">
        <v>5</v>
      </c>
      <c r="K10">
        <v>23</v>
      </c>
      <c r="L10">
        <v>89</v>
      </c>
      <c r="M10" t="b">
        <f t="shared" si="1"/>
        <v>0</v>
      </c>
      <c r="N10" t="b">
        <f t="shared" si="2"/>
        <v>1</v>
      </c>
      <c r="O10" t="str">
        <f t="shared" si="3"/>
        <v>Fail</v>
      </c>
      <c r="P10" t="str">
        <f t="shared" si="4"/>
        <v>Fail</v>
      </c>
    </row>
    <row r="11" spans="4:16" x14ac:dyDescent="0.25">
      <c r="D11" t="s">
        <v>6</v>
      </c>
      <c r="E11">
        <v>67</v>
      </c>
      <c r="F11" t="str">
        <f t="shared" si="0"/>
        <v>Pass</v>
      </c>
      <c r="J11" t="s">
        <v>6</v>
      </c>
      <c r="K11">
        <v>45</v>
      </c>
      <c r="L11">
        <v>65</v>
      </c>
      <c r="M11" t="b">
        <f t="shared" si="1"/>
        <v>0</v>
      </c>
      <c r="N11" t="b">
        <f t="shared" si="2"/>
        <v>1</v>
      </c>
      <c r="O11" t="str">
        <f t="shared" si="3"/>
        <v>Fail</v>
      </c>
      <c r="P11" t="str">
        <f t="shared" si="4"/>
        <v>Fail</v>
      </c>
    </row>
    <row r="12" spans="4:16" x14ac:dyDescent="0.25">
      <c r="D12" t="s">
        <v>7</v>
      </c>
      <c r="E12">
        <v>45</v>
      </c>
      <c r="F12" t="str">
        <f t="shared" si="0"/>
        <v>Pass</v>
      </c>
      <c r="J12" t="s">
        <v>7</v>
      </c>
      <c r="K12">
        <v>78</v>
      </c>
      <c r="L12">
        <v>34</v>
      </c>
      <c r="M12" t="b">
        <f t="shared" si="1"/>
        <v>1</v>
      </c>
      <c r="N12" t="b">
        <f t="shared" si="2"/>
        <v>0</v>
      </c>
      <c r="O12" t="str">
        <f t="shared" si="3"/>
        <v>Pass</v>
      </c>
      <c r="P12" t="str">
        <f t="shared" si="4"/>
        <v>Pass</v>
      </c>
    </row>
    <row r="13" spans="4:16" x14ac:dyDescent="0.25">
      <c r="D13" s="2" t="s">
        <v>13</v>
      </c>
      <c r="E13" s="2">
        <v>56</v>
      </c>
      <c r="F13" t="str">
        <f t="shared" si="0"/>
        <v>Pass</v>
      </c>
      <c r="J13" t="s">
        <v>13</v>
      </c>
      <c r="K13">
        <v>100</v>
      </c>
      <c r="L13">
        <v>67</v>
      </c>
      <c r="M13" t="b">
        <f t="shared" si="1"/>
        <v>0</v>
      </c>
      <c r="N13" t="b">
        <f t="shared" si="2"/>
        <v>1</v>
      </c>
      <c r="O13" t="str">
        <f t="shared" si="3"/>
        <v>Fail</v>
      </c>
      <c r="P13" t="str">
        <f t="shared" si="4"/>
        <v>Fail</v>
      </c>
    </row>
    <row r="14" spans="4:16" x14ac:dyDescent="0.25">
      <c r="D14" s="2" t="s">
        <v>14</v>
      </c>
      <c r="E14" s="2">
        <v>89</v>
      </c>
      <c r="F14" t="str">
        <f t="shared" si="0"/>
        <v>Pass</v>
      </c>
      <c r="J14" t="s">
        <v>14</v>
      </c>
      <c r="K14">
        <v>45</v>
      </c>
      <c r="L14">
        <v>45</v>
      </c>
      <c r="M14" t="b">
        <f t="shared" si="1"/>
        <v>0</v>
      </c>
      <c r="N14" t="b">
        <f t="shared" si="2"/>
        <v>1</v>
      </c>
      <c r="O14" t="str">
        <f t="shared" si="3"/>
        <v>Fail</v>
      </c>
      <c r="P14" t="str">
        <f t="shared" si="4"/>
        <v>Fail</v>
      </c>
    </row>
    <row r="15" spans="4:16" x14ac:dyDescent="0.25">
      <c r="D15" s="2" t="s">
        <v>15</v>
      </c>
      <c r="E15" s="2">
        <v>90</v>
      </c>
      <c r="F15" t="str">
        <f t="shared" si="0"/>
        <v>Pass</v>
      </c>
      <c r="J15" t="s">
        <v>15</v>
      </c>
      <c r="K15">
        <v>23</v>
      </c>
      <c r="L15">
        <v>90</v>
      </c>
      <c r="M15" t="b">
        <f t="shared" si="1"/>
        <v>0</v>
      </c>
      <c r="N15" t="b">
        <f t="shared" si="2"/>
        <v>1</v>
      </c>
      <c r="O15" t="str">
        <f t="shared" si="3"/>
        <v>Fail</v>
      </c>
      <c r="P15" t="str">
        <f t="shared" si="4"/>
        <v>Fail</v>
      </c>
    </row>
    <row r="16" spans="4:16" x14ac:dyDescent="0.25">
      <c r="D16" s="2" t="s">
        <v>16</v>
      </c>
      <c r="E16" s="2">
        <v>23</v>
      </c>
      <c r="F16" t="str">
        <f t="shared" si="0"/>
        <v>Fail</v>
      </c>
      <c r="J16" t="s">
        <v>16</v>
      </c>
      <c r="K16">
        <v>56</v>
      </c>
      <c r="L16">
        <v>67</v>
      </c>
      <c r="M16" t="b">
        <f t="shared" si="1"/>
        <v>0</v>
      </c>
      <c r="N16" t="b">
        <f t="shared" si="2"/>
        <v>1</v>
      </c>
      <c r="O16" t="str">
        <f t="shared" si="3"/>
        <v>Fail</v>
      </c>
      <c r="P16" t="str">
        <f t="shared" si="4"/>
        <v>Fail</v>
      </c>
    </row>
    <row r="19" spans="10:14" x14ac:dyDescent="0.25">
      <c r="L19" t="s">
        <v>33</v>
      </c>
    </row>
    <row r="20" spans="10:14" x14ac:dyDescent="0.25">
      <c r="J20" t="s">
        <v>0</v>
      </c>
      <c r="K20" t="s">
        <v>12</v>
      </c>
      <c r="L20" t="s">
        <v>28</v>
      </c>
      <c r="M20" t="s">
        <v>31</v>
      </c>
      <c r="N20" t="s">
        <v>32</v>
      </c>
    </row>
    <row r="21" spans="10:14" x14ac:dyDescent="0.25">
      <c r="J21" t="s">
        <v>1</v>
      </c>
      <c r="K21">
        <v>32</v>
      </c>
      <c r="L21">
        <v>34</v>
      </c>
      <c r="M21" t="str">
        <f>IF(K21&gt;=90,"A",IF(K21&gt;=75,"B",IF(K21&gt;=45,"C","D")))</f>
        <v>D</v>
      </c>
      <c r="N21" t="str">
        <f>IF(AVERAGE(K21,L21)&gt;35,"Pass","Fail")</f>
        <v>Fail</v>
      </c>
    </row>
    <row r="22" spans="10:14" x14ac:dyDescent="0.25">
      <c r="J22" t="s">
        <v>2</v>
      </c>
      <c r="K22">
        <v>45</v>
      </c>
      <c r="L22">
        <v>67</v>
      </c>
      <c r="M22" t="str">
        <f t="shared" ref="M22:M33" si="5">IF(K22&gt;=90,"A",IF(K22&gt;=75,"B",IF(K22&gt;=45,"C","D")))</f>
        <v>C</v>
      </c>
      <c r="N22" t="str">
        <f t="shared" ref="N22:N33" si="6">IF(AVERAGE(K22,L22)&gt;35,"Pass","Fail")</f>
        <v>Pass</v>
      </c>
    </row>
    <row r="23" spans="10:14" x14ac:dyDescent="0.25">
      <c r="J23" t="s">
        <v>3</v>
      </c>
      <c r="K23">
        <v>89</v>
      </c>
      <c r="L23">
        <v>45</v>
      </c>
      <c r="M23" t="str">
        <f t="shared" si="5"/>
        <v>B</v>
      </c>
      <c r="N23" t="str">
        <f t="shared" si="6"/>
        <v>Pass</v>
      </c>
    </row>
    <row r="24" spans="10:14" x14ac:dyDescent="0.25">
      <c r="J24" t="s">
        <v>4</v>
      </c>
      <c r="K24">
        <v>56</v>
      </c>
      <c r="L24">
        <v>90</v>
      </c>
      <c r="M24" t="str">
        <f t="shared" si="5"/>
        <v>C</v>
      </c>
      <c r="N24" t="str">
        <f t="shared" si="6"/>
        <v>Pass</v>
      </c>
    </row>
    <row r="25" spans="10:14" x14ac:dyDescent="0.25">
      <c r="J25" t="s">
        <v>5</v>
      </c>
      <c r="K25">
        <v>34</v>
      </c>
      <c r="L25">
        <v>23</v>
      </c>
      <c r="M25" t="str">
        <f t="shared" si="5"/>
        <v>D</v>
      </c>
      <c r="N25" t="str">
        <f t="shared" si="6"/>
        <v>Fail</v>
      </c>
    </row>
    <row r="26" spans="10:14" x14ac:dyDescent="0.25">
      <c r="J26" t="s">
        <v>6</v>
      </c>
      <c r="K26">
        <v>90</v>
      </c>
      <c r="L26">
        <v>45</v>
      </c>
      <c r="M26" t="str">
        <f t="shared" si="5"/>
        <v>A</v>
      </c>
      <c r="N26" t="str">
        <f t="shared" si="6"/>
        <v>Pass</v>
      </c>
    </row>
    <row r="27" spans="10:14" x14ac:dyDescent="0.25">
      <c r="J27" t="s">
        <v>7</v>
      </c>
      <c r="K27">
        <v>56</v>
      </c>
      <c r="L27">
        <v>67</v>
      </c>
      <c r="M27" t="str">
        <f t="shared" si="5"/>
        <v>C</v>
      </c>
      <c r="N27" t="str">
        <f t="shared" si="6"/>
        <v>Pass</v>
      </c>
    </row>
    <row r="28" spans="10:14" x14ac:dyDescent="0.25">
      <c r="J28" t="s">
        <v>13</v>
      </c>
      <c r="K28">
        <v>45</v>
      </c>
      <c r="L28">
        <v>34</v>
      </c>
      <c r="M28" t="str">
        <f t="shared" si="5"/>
        <v>C</v>
      </c>
      <c r="N28" t="str">
        <f t="shared" si="6"/>
        <v>Pass</v>
      </c>
    </row>
    <row r="29" spans="10:14" x14ac:dyDescent="0.25">
      <c r="J29" t="s">
        <v>14</v>
      </c>
      <c r="K29">
        <v>67</v>
      </c>
      <c r="L29">
        <v>89</v>
      </c>
      <c r="M29" t="str">
        <f t="shared" si="5"/>
        <v>C</v>
      </c>
      <c r="N29" t="str">
        <f t="shared" si="6"/>
        <v>Pass</v>
      </c>
    </row>
    <row r="30" spans="10:14" x14ac:dyDescent="0.25">
      <c r="J30" t="s">
        <v>15</v>
      </c>
      <c r="K30">
        <v>45</v>
      </c>
      <c r="L30">
        <v>56</v>
      </c>
      <c r="M30" t="str">
        <f t="shared" si="5"/>
        <v>C</v>
      </c>
      <c r="N30" t="str">
        <f t="shared" si="6"/>
        <v>Pass</v>
      </c>
    </row>
    <row r="31" spans="10:14" x14ac:dyDescent="0.25">
      <c r="J31" t="s">
        <v>16</v>
      </c>
      <c r="K31">
        <v>90</v>
      </c>
      <c r="L31">
        <v>12</v>
      </c>
      <c r="M31" t="str">
        <f t="shared" si="5"/>
        <v>A</v>
      </c>
      <c r="N31" t="str">
        <f t="shared" si="6"/>
        <v>Pass</v>
      </c>
    </row>
    <row r="32" spans="10:14" x14ac:dyDescent="0.25">
      <c r="J32" t="s">
        <v>29</v>
      </c>
      <c r="K32">
        <v>100</v>
      </c>
      <c r="L32">
        <v>34</v>
      </c>
      <c r="M32" t="str">
        <f t="shared" si="5"/>
        <v>A</v>
      </c>
      <c r="N32" t="str">
        <f t="shared" si="6"/>
        <v>Pass</v>
      </c>
    </row>
    <row r="33" spans="10:14" x14ac:dyDescent="0.25">
      <c r="J33" t="s">
        <v>30</v>
      </c>
      <c r="K33">
        <v>12</v>
      </c>
      <c r="L33">
        <v>54</v>
      </c>
      <c r="M33" t="str">
        <f t="shared" si="5"/>
        <v>D</v>
      </c>
      <c r="N33" t="str">
        <f t="shared" si="6"/>
        <v>Fail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2026-06-02T06:29:49Z</dcterms:created>
  <dcterms:modified xsi:type="dcterms:W3CDTF">2026-06-02T11:28:10Z</dcterms:modified>
</cp:coreProperties>
</file>