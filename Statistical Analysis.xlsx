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007a0117cedace/Desktop/Data Analytics/"/>
    </mc:Choice>
  </mc:AlternateContent>
  <xr:revisionPtr revIDLastSave="0" documentId="8_{F0DD60E9-A029-4D9E-9F69-6A9C98272D81}" xr6:coauthVersionLast="47" xr6:coauthVersionMax="47" xr10:uidLastSave="{00000000-0000-0000-0000-000000000000}"/>
  <bookViews>
    <workbookView xWindow="2928" yWindow="2928" windowWidth="17280" windowHeight="8880" activeTab="1" xr2:uid="{64AE9A83-75D7-4297-A350-2252E7EA72F8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H2" i="1"/>
  <c r="I2" i="1"/>
  <c r="L2" i="1"/>
  <c r="J2" i="1"/>
  <c r="E2" i="1"/>
</calcChain>
</file>

<file path=xl/sharedStrings.xml><?xml version="1.0" encoding="utf-8"?>
<sst xmlns="http://schemas.openxmlformats.org/spreadsheetml/2006/main" count="63" uniqueCount="61">
  <si>
    <t>student name</t>
  </si>
  <si>
    <t>raju</t>
  </si>
  <si>
    <t>swetha</t>
  </si>
  <si>
    <t>rani</t>
  </si>
  <si>
    <t>alice</t>
  </si>
  <si>
    <t>bob</t>
  </si>
  <si>
    <t>aneesha</t>
  </si>
  <si>
    <t>harika</t>
  </si>
  <si>
    <t>haniya</t>
  </si>
  <si>
    <t>ishaan</t>
  </si>
  <si>
    <t>marks gain</t>
  </si>
  <si>
    <t>hours</t>
  </si>
  <si>
    <t>baalu</t>
  </si>
  <si>
    <t>MEAN</t>
  </si>
  <si>
    <t>MODE</t>
  </si>
  <si>
    <t>MEDIAN</t>
  </si>
  <si>
    <t>RANGE</t>
  </si>
  <si>
    <t>VARIANCE</t>
  </si>
  <si>
    <t>STD DEVIATION</t>
  </si>
  <si>
    <t>CORRELATION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</si>
  <si>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</si>
  <si>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</si>
  <si>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</si>
  <si>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</si>
  <si>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</si>
  <si>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</si>
  <si>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</si>
  <si>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</si>
  <si>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</si>
  <si>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</si>
  <si>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</si>
  <si>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</si>
  <si>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</si>
  <si>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</si>
  <si>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</si>
  <si>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</si>
  <si>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</si>
  <si>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</si>
  <si>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</si>
  <si>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</si>
  <si>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</si>
  <si>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</si>
  <si>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</si>
  <si>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</si>
  <si>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</si>
  <si>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</si>
  <si>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</si>
  <si>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</si>
  <si>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</si>
  <si>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</si>
  <si>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</si>
  <si>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</si>
  <si>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</si>
  <si>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</si>
  <si>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</si>
  <si>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</si>
  <si>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</si>
  <si>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</si>
  <si>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</si>
  <si>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90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</si>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</sst>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Sheet1!$C$3:$C$11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xVal>
          <c:yVal>
            <c:numRef>
              <c:f>Sheet1!$B$3:$B$11</c:f>
              <c:numCache>
                <c:formatCode>General</c:formatCode>
                <c:ptCount val="9"/>
                <c:pt idx="0">
                  <c:v>50</c:v>
                </c:pt>
                <c:pt idx="1">
                  <c:v>65</c:v>
                </c:pt>
                <c:pt idx="2">
                  <c:v>87</c:v>
                </c:pt>
                <c:pt idx="3">
                  <c:v>54</c:v>
                </c:pt>
                <c:pt idx="4">
                  <c:v>90</c:v>
                </c:pt>
                <c:pt idx="5">
                  <c:v>78</c:v>
                </c:pt>
                <c:pt idx="6">
                  <c:v>34</c:v>
                </c:pt>
                <c:pt idx="7">
                  <c:v>76</c:v>
                </c:pt>
                <c:pt idx="8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93-4F17-8EEF-522A851D3DFA}"/>
            </c:ext>
          </c:extLst>
        </c:ser>
        <c:ser>
          <c:idx val="1"/>
          <c:order val="1"/>
          <c:tx>
            <c:v>Predicted 90</c:v>
          </c:tx>
          <c:spPr>
            <a:ln w="19050">
              <a:noFill/>
            </a:ln>
          </c:spPr>
          <c:xVal>
            <c:numRef>
              <c:f>Sheet1!$C$3:$C$11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xVal>
          <c:yVal>
            <c:numRef>
              <c:f>Sheet3!$B$25:$B$33</c:f>
              <c:numCache>
                <c:formatCode>General</c:formatCode>
                <c:ptCount val="9"/>
                <c:pt idx="0">
                  <c:v>66.221804511278179</c:v>
                </c:pt>
                <c:pt idx="1">
                  <c:v>67.766917293233078</c:v>
                </c:pt>
                <c:pt idx="2">
                  <c:v>69.312030075187963</c:v>
                </c:pt>
                <c:pt idx="3">
                  <c:v>64.676691729323295</c:v>
                </c:pt>
                <c:pt idx="4">
                  <c:v>63.131578947368411</c:v>
                </c:pt>
                <c:pt idx="5">
                  <c:v>60.041353383458635</c:v>
                </c:pt>
                <c:pt idx="6">
                  <c:v>63.131578947368411</c:v>
                </c:pt>
                <c:pt idx="7">
                  <c:v>63.131578947368411</c:v>
                </c:pt>
                <c:pt idx="8">
                  <c:v>61.586466165413526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93-4F17-8EEF-522A851D3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362112"/>
        <c:axId val="1589373632"/>
      </c:scatterChart>
      <c:valAx>
        <c:axId val="1589362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89373632"/>
        <c:crosses val="autoZero"/>
        <c:crossBetween val="midCat"/>
      </c:valAx>
      <c:valAx>
        <c:axId val="1589373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90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89362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Marks</a:t>
            </a:r>
            <a:r>
              <a:rPr lang="en-IN" baseline="0"/>
              <a:t> vs </a:t>
            </a:r>
            <a:r>
              <a:rPr lang="en-IN"/>
              <a:t>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Sheet1!$B$2:$B$11</c:f>
              <c:numCache>
                <c:formatCode>General</c:formatCode>
                <c:ptCount val="10"/>
                <c:pt idx="0">
                  <c:v>90</c:v>
                </c:pt>
                <c:pt idx="1">
                  <c:v>50</c:v>
                </c:pt>
                <c:pt idx="2">
                  <c:v>65</c:v>
                </c:pt>
                <c:pt idx="3">
                  <c:v>87</c:v>
                </c:pt>
                <c:pt idx="4">
                  <c:v>54</c:v>
                </c:pt>
                <c:pt idx="5">
                  <c:v>90</c:v>
                </c:pt>
                <c:pt idx="6">
                  <c:v>78</c:v>
                </c:pt>
                <c:pt idx="7">
                  <c:v>34</c:v>
                </c:pt>
                <c:pt idx="8">
                  <c:v>76</c:v>
                </c:pt>
                <c:pt idx="9">
                  <c:v>45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10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68-4312-9695-1721267DD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726480"/>
        <c:axId val="1495723600"/>
      </c:scatterChart>
      <c:valAx>
        <c:axId val="149572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723600"/>
        <c:crosses val="autoZero"/>
        <c:crossBetween val="midCat"/>
      </c:valAx>
      <c:valAx>
        <c:axId val="14957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72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vs marks 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 gain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Sheet1!$A$2:$A$11</c:f>
              <c:strCache>
                <c:ptCount val="10"/>
                <c:pt idx="0">
                  <c:v>raju</c:v>
                </c:pt>
                <c:pt idx="1">
                  <c:v>swetha</c:v>
                </c:pt>
                <c:pt idx="2">
                  <c:v>rani</c:v>
                </c:pt>
                <c:pt idx="3">
                  <c:v>alice</c:v>
                </c:pt>
                <c:pt idx="4">
                  <c:v>bob</c:v>
                </c:pt>
                <c:pt idx="5">
                  <c:v>aneesha</c:v>
                </c:pt>
                <c:pt idx="6">
                  <c:v>harika</c:v>
                </c:pt>
                <c:pt idx="7">
                  <c:v>haniya</c:v>
                </c:pt>
                <c:pt idx="8">
                  <c:v>ishaan</c:v>
                </c:pt>
                <c:pt idx="9">
                  <c:v>baalu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90</c:v>
                </c:pt>
                <c:pt idx="1">
                  <c:v>50</c:v>
                </c:pt>
                <c:pt idx="2">
                  <c:v>65</c:v>
                </c:pt>
                <c:pt idx="3">
                  <c:v>87</c:v>
                </c:pt>
                <c:pt idx="4">
                  <c:v>54</c:v>
                </c:pt>
                <c:pt idx="5">
                  <c:v>90</c:v>
                </c:pt>
                <c:pt idx="6">
                  <c:v>78</c:v>
                </c:pt>
                <c:pt idx="7">
                  <c:v>34</c:v>
                </c:pt>
                <c:pt idx="8">
                  <c:v>76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E-4877-928F-A2134096B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9349152"/>
        <c:axId val="1589332832"/>
        <c:axId val="0"/>
      </c:bar3DChart>
      <c:catAx>
        <c:axId val="15893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32832"/>
        <c:crosses val="autoZero"/>
        <c:auto val="1"/>
        <c:lblAlgn val="ctr"/>
        <c:lblOffset val="100"/>
        <c:noMultiLvlLbl val="0"/>
      </c:catAx>
      <c:valAx>
        <c:axId val="158933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4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 vs </a:t>
            </a:r>
            <a:r>
              <a:rPr lang="en-US"/>
              <a:t>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raju</c:v>
                </c:pt>
                <c:pt idx="1">
                  <c:v>swetha</c:v>
                </c:pt>
                <c:pt idx="2">
                  <c:v>rani</c:v>
                </c:pt>
                <c:pt idx="3">
                  <c:v>alice</c:v>
                </c:pt>
                <c:pt idx="4">
                  <c:v>bob</c:v>
                </c:pt>
                <c:pt idx="5">
                  <c:v>aneesha</c:v>
                </c:pt>
                <c:pt idx="6">
                  <c:v>harika</c:v>
                </c:pt>
                <c:pt idx="7">
                  <c:v>haniya</c:v>
                </c:pt>
                <c:pt idx="8">
                  <c:v>ishaan</c:v>
                </c:pt>
                <c:pt idx="9">
                  <c:v>baalu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10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A-43C5-B67F-4E6B4F6DF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335232"/>
        <c:axId val="1589331872"/>
      </c:barChart>
      <c:catAx>
        <c:axId val="158933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31872"/>
        <c:crosses val="autoZero"/>
        <c:auto val="1"/>
        <c:lblAlgn val="ctr"/>
        <c:lblOffset val="100"/>
        <c:noMultiLvlLbl val="0"/>
      </c:catAx>
      <c:valAx>
        <c:axId val="158933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33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029276-7689-A743-35B4-DF4096A0B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4</xdr:row>
      <xdr:rowOff>41910</xdr:rowOff>
    </xdr:from>
    <xdr:to>
      <xdr:col>10</xdr:col>
      <xdr:colOff>281940</xdr:colOff>
      <xdr:row>17</xdr:row>
      <xdr:rowOff>83820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3BB813-1C0E-BE43-CFE6-9EA204C52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312420</xdr:colOff>
      <xdr:row>4</xdr:row>
      <xdr:rowOff>38100</xdr:rowOff>
    </xdr:from>
    <xdr:to>
      <xdr:col>18</xdr:col>
      <xdr:colOff>228600</xdr:colOff>
      <xdr:row>17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7BBEAF6-23AE-F7A6-F242-199C0C5CF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68580</xdr:colOff>
      <xdr:row>20</xdr:row>
      <xdr:rowOff>49530</xdr:rowOff>
    </xdr:from>
    <xdr:to>
      <xdr:col>10</xdr:col>
      <xdr:colOff>556260</xdr:colOff>
      <xdr:row>34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F9FE775-FA9F-1B46-860B-943F18757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A55C-6CBE-4660-984B-FE1F3F78F467}">
  <dimension ref="A1:B15"/>
  <sheetViews>
    <sheetView workbookViewId="0">
      <selection activeCell="E9" sqref="E9"/>
    </sheetView>
  </sheetViews>
  <sheetFormatPr defaultRowHeight="14.4" x14ac:dyDescent="0.3"/>
  <sheetData>
    <row r="1" spans="1:2" x14ac:dyDescent="0.3">
      <c r="A1" s="6" t="s">
        <v>20</v>
      </c>
      <c r="B1" s="6"/>
    </row>
    <row r="3" spans="1:2" x14ac:dyDescent="0.3">
      <c r="A3" t="s">
        <v>21</v>
      </c>
      <c r="B3">
        <v>66.900000000000006</v>
      </c>
    </row>
    <row r="4" spans="1:2" x14ac:dyDescent="0.3">
      <c r="A4" t="s">
        <v>22</v>
      </c>
      <c r="B4">
        <v>6.4073742238489908</v>
      </c>
    </row>
    <row r="5" spans="1:2" x14ac:dyDescent="0.3">
      <c r="A5" t="s">
        <v>23</v>
      </c>
      <c r="B5">
        <v>70.5</v>
      </c>
    </row>
    <row r="6" spans="1:2" x14ac:dyDescent="0.3">
      <c r="A6" t="s">
        <v>24</v>
      </c>
      <c r="B6">
        <v>90</v>
      </c>
    </row>
    <row r="7" spans="1:2" x14ac:dyDescent="0.3">
      <c r="A7" t="s">
        <v>25</v>
      </c>
      <c r="B7">
        <v>20.261896368416373</v>
      </c>
    </row>
    <row r="8" spans="1:2" x14ac:dyDescent="0.3">
      <c r="A8" t="s">
        <v>26</v>
      </c>
      <c r="B8">
        <v>410.54444444444459</v>
      </c>
    </row>
    <row r="9" spans="1:2" x14ac:dyDescent="0.3">
      <c r="A9" t="s">
        <v>27</v>
      </c>
      <c r="B9">
        <v>-1.4054487881748847</v>
      </c>
    </row>
    <row r="10" spans="1:2" x14ac:dyDescent="0.3">
      <c r="A10" t="s">
        <v>28</v>
      </c>
      <c r="B10">
        <v>-0.30388623637742107</v>
      </c>
    </row>
    <row r="11" spans="1:2" x14ac:dyDescent="0.3">
      <c r="A11" t="s">
        <v>29</v>
      </c>
      <c r="B11">
        <v>56</v>
      </c>
    </row>
    <row r="12" spans="1:2" x14ac:dyDescent="0.3">
      <c r="A12" t="s">
        <v>30</v>
      </c>
      <c r="B12">
        <v>34</v>
      </c>
    </row>
    <row r="13" spans="1:2" x14ac:dyDescent="0.3">
      <c r="A13" t="s">
        <v>31</v>
      </c>
      <c r="B13">
        <v>90</v>
      </c>
    </row>
    <row r="14" spans="1:2" x14ac:dyDescent="0.3">
      <c r="A14" t="s">
        <v>32</v>
      </c>
      <c r="B14">
        <v>669</v>
      </c>
    </row>
    <row r="15" spans="1:2" ht="15" thickBot="1" x14ac:dyDescent="0.35">
      <c r="A15" s="4" t="s">
        <v>33</v>
      </c>
      <c r="B15" s="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DD37-EDAC-410E-B8A6-2550FD5AB64F}">
  <dimension ref="A1:I33"/>
  <sheetViews>
    <sheetView tabSelected="1" workbookViewId="0">
      <selection activeCell="C17" sqref="C17"/>
    </sheetView>
  </sheetViews>
  <sheetFormatPr defaultRowHeight="14.4" x14ac:dyDescent="0.3"/>
  <sheetData>
    <row r="1" spans="1:9" x14ac:dyDescent="0.3">
      <c r="A1" t="s">
        <v>34</v>
      </c>
    </row>
    <row r="2" spans="1:9" ht="15" thickBot="1" x14ac:dyDescent="0.35"/>
    <row r="3" spans="1:9" x14ac:dyDescent="0.3">
      <c r="A3" s="6" t="s">
        <v>35</v>
      </c>
      <c r="B3" s="6"/>
    </row>
    <row r="4" spans="1:9" x14ac:dyDescent="0.3">
      <c r="A4" t="s">
        <v>36</v>
      </c>
      <c r="B4">
        <v>0.15081997070724015</v>
      </c>
    </row>
    <row r="5" spans="1:9" x14ac:dyDescent="0.3">
      <c r="A5" t="s">
        <v>37</v>
      </c>
      <c r="B5">
        <v>2.2746663564132779E-2</v>
      </c>
    </row>
    <row r="6" spans="1:9" x14ac:dyDescent="0.3">
      <c r="A6" t="s">
        <v>38</v>
      </c>
      <c r="B6">
        <v>-0.1168609559267054</v>
      </c>
    </row>
    <row r="7" spans="1:9" x14ac:dyDescent="0.3">
      <c r="A7" t="s">
        <v>22</v>
      </c>
      <c r="B7">
        <v>20.810161836482195</v>
      </c>
    </row>
    <row r="8" spans="1:9" ht="15" thickBot="1" x14ac:dyDescent="0.35">
      <c r="A8" s="4" t="s">
        <v>39</v>
      </c>
      <c r="B8" s="4">
        <v>9</v>
      </c>
    </row>
    <row r="10" spans="1:9" ht="15" thickBot="1" x14ac:dyDescent="0.35">
      <c r="A10" t="s">
        <v>40</v>
      </c>
    </row>
    <row r="11" spans="1:9" x14ac:dyDescent="0.3">
      <c r="A11" s="5"/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</row>
    <row r="12" spans="1:9" x14ac:dyDescent="0.3">
      <c r="A12" t="s">
        <v>41</v>
      </c>
      <c r="B12">
        <v>1</v>
      </c>
      <c r="C12">
        <v>70.560150375939884</v>
      </c>
      <c r="D12">
        <v>70.560150375939884</v>
      </c>
      <c r="E12">
        <v>0.16293282305859777</v>
      </c>
      <c r="F12">
        <v>0.69851667968509779</v>
      </c>
    </row>
    <row r="13" spans="1:9" x14ac:dyDescent="0.3">
      <c r="A13" t="s">
        <v>42</v>
      </c>
      <c r="B13">
        <v>7</v>
      </c>
      <c r="C13">
        <v>3031.4398496240601</v>
      </c>
      <c r="D13">
        <v>433.06283566057999</v>
      </c>
    </row>
    <row r="14" spans="1:9" ht="15" thickBot="1" x14ac:dyDescent="0.35">
      <c r="A14" s="4" t="s">
        <v>43</v>
      </c>
      <c r="B14" s="4">
        <v>8</v>
      </c>
      <c r="C14" s="4">
        <v>3102</v>
      </c>
      <c r="D14" s="4"/>
      <c r="E14" s="4"/>
      <c r="F14" s="4"/>
    </row>
    <row r="15" spans="1:9" ht="15" thickBot="1" x14ac:dyDescent="0.35"/>
    <row r="16" spans="1:9" x14ac:dyDescent="0.3">
      <c r="A16" s="5"/>
      <c r="B16" s="5" t="s">
        <v>50</v>
      </c>
      <c r="C16" s="5" t="s">
        <v>22</v>
      </c>
      <c r="D16" s="5" t="s">
        <v>51</v>
      </c>
      <c r="E16" s="5" t="s">
        <v>52</v>
      </c>
      <c r="F16" s="5" t="s">
        <v>53</v>
      </c>
      <c r="G16" s="5" t="s">
        <v>54</v>
      </c>
      <c r="H16" s="5" t="s">
        <v>55</v>
      </c>
      <c r="I16" s="5" t="s">
        <v>56</v>
      </c>
    </row>
    <row r="17" spans="1:9" x14ac:dyDescent="0.3">
      <c r="A17" t="s">
        <v>44</v>
      </c>
      <c r="B17">
        <v>55.406015037593974</v>
      </c>
      <c r="C17">
        <v>23.178835284431891</v>
      </c>
      <c r="D17">
        <v>2.3903709723847744</v>
      </c>
      <c r="E17">
        <v>4.8142551503003353E-2</v>
      </c>
      <c r="F17">
        <v>0.59677900035178055</v>
      </c>
      <c r="G17">
        <v>110.21525107483617</v>
      </c>
      <c r="H17">
        <v>0.59677900035178055</v>
      </c>
      <c r="I17">
        <v>110.21525107483617</v>
      </c>
    </row>
    <row r="18" spans="1:9" ht="15" thickBot="1" x14ac:dyDescent="0.35">
      <c r="A18" s="4">
        <v>10</v>
      </c>
      <c r="B18" s="4">
        <v>1.5451127819548875</v>
      </c>
      <c r="C18" s="4">
        <v>3.8278586648987809</v>
      </c>
      <c r="D18" s="4">
        <v>0.40364938134301376</v>
      </c>
      <c r="E18" s="4">
        <v>0.6985166796850979</v>
      </c>
      <c r="F18" s="4">
        <v>-7.5063346487343487</v>
      </c>
      <c r="G18" s="4">
        <v>10.596560212644125</v>
      </c>
      <c r="H18" s="4">
        <v>-7.5063346487343487</v>
      </c>
      <c r="I18" s="4">
        <v>10.596560212644125</v>
      </c>
    </row>
    <row r="22" spans="1:9" x14ac:dyDescent="0.3">
      <c r="A22" t="s">
        <v>57</v>
      </c>
    </row>
    <row r="23" spans="1:9" ht="15" thickBot="1" x14ac:dyDescent="0.35"/>
    <row r="24" spans="1:9" x14ac:dyDescent="0.3">
      <c r="A24" s="5" t="s">
        <v>58</v>
      </c>
      <c r="B24" s="5" t="s">
        <v>59</v>
      </c>
      <c r="C24" s="5" t="s">
        <v>60</v>
      </c>
    </row>
    <row r="25" spans="1:9" x14ac:dyDescent="0.3">
      <c r="A25">
        <v>1</v>
      </c>
      <c r="B25">
        <v>66.221804511278179</v>
      </c>
      <c r="C25">
        <v>-16.221804511278179</v>
      </c>
    </row>
    <row r="26" spans="1:9" x14ac:dyDescent="0.3">
      <c r="A26">
        <v>2</v>
      </c>
      <c r="B26">
        <v>67.766917293233078</v>
      </c>
      <c r="C26">
        <v>-2.7669172932330781</v>
      </c>
    </row>
    <row r="27" spans="1:9" x14ac:dyDescent="0.3">
      <c r="A27">
        <v>3</v>
      </c>
      <c r="B27">
        <v>69.312030075187963</v>
      </c>
      <c r="C27">
        <v>17.687969924812037</v>
      </c>
    </row>
    <row r="28" spans="1:9" x14ac:dyDescent="0.3">
      <c r="A28">
        <v>4</v>
      </c>
      <c r="B28">
        <v>64.676691729323295</v>
      </c>
      <c r="C28">
        <v>-10.676691729323295</v>
      </c>
    </row>
    <row r="29" spans="1:9" x14ac:dyDescent="0.3">
      <c r="A29">
        <v>5</v>
      </c>
      <c r="B29">
        <v>63.131578947368411</v>
      </c>
      <c r="C29">
        <v>26.868421052631589</v>
      </c>
    </row>
    <row r="30" spans="1:9" x14ac:dyDescent="0.3">
      <c r="A30">
        <v>6</v>
      </c>
      <c r="B30">
        <v>60.041353383458635</v>
      </c>
      <c r="C30">
        <v>17.958646616541365</v>
      </c>
    </row>
    <row r="31" spans="1:9" x14ac:dyDescent="0.3">
      <c r="A31">
        <v>7</v>
      </c>
      <c r="B31">
        <v>63.131578947368411</v>
      </c>
      <c r="C31">
        <v>-29.131578947368411</v>
      </c>
    </row>
    <row r="32" spans="1:9" x14ac:dyDescent="0.3">
      <c r="A32">
        <v>8</v>
      </c>
      <c r="B32">
        <v>63.131578947368411</v>
      </c>
      <c r="C32">
        <v>12.868421052631589</v>
      </c>
    </row>
    <row r="33" spans="1:3" ht="15" thickBot="1" x14ac:dyDescent="0.35">
      <c r="A33" s="4">
        <v>9</v>
      </c>
      <c r="B33" s="4">
        <v>61.586466165413526</v>
      </c>
      <c r="C33" s="4">
        <v>-16.586466165413526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6B5E-A2F6-4155-824F-694C22147D1F}">
  <dimension ref="A1:L11"/>
  <sheetViews>
    <sheetView workbookViewId="0">
      <selection activeCell="K4" sqref="K4"/>
    </sheetView>
  </sheetViews>
  <sheetFormatPr defaultRowHeight="14.4" x14ac:dyDescent="0.3"/>
  <sheetData>
    <row r="1" spans="1:12" ht="18.600000000000001" customHeight="1" x14ac:dyDescent="0.35">
      <c r="A1" s="2" t="s">
        <v>0</v>
      </c>
      <c r="B1" s="3" t="s">
        <v>10</v>
      </c>
      <c r="C1" s="3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L1" s="1" t="s">
        <v>19</v>
      </c>
    </row>
    <row r="2" spans="1:12" x14ac:dyDescent="0.3">
      <c r="A2" t="s">
        <v>1</v>
      </c>
      <c r="B2">
        <v>90</v>
      </c>
      <c r="C2">
        <v>10</v>
      </c>
      <c r="E2">
        <f>AVERAGE(B2:B11)</f>
        <v>66.900000000000006</v>
      </c>
      <c r="F2">
        <f>_xlfn.MODE.SNGL(B2:B11)</f>
        <v>90</v>
      </c>
      <c r="G2">
        <f>MEDIAN(B2:B11)</f>
        <v>70.5</v>
      </c>
      <c r="H2">
        <f>MAX(B2:B11)-MIN(B2:B11)</f>
        <v>56</v>
      </c>
      <c r="I2">
        <f>_xlfn.VAR.S(B2:B11)</f>
        <v>410.54444444444459</v>
      </c>
      <c r="J2">
        <f>_xlfn.STDEV.S(B2:B11)</f>
        <v>20.261896368416373</v>
      </c>
      <c r="L2">
        <f>CORREL(B2:B11,C2:C11)</f>
        <v>0.34886648709464529</v>
      </c>
    </row>
    <row r="3" spans="1:12" x14ac:dyDescent="0.3">
      <c r="A3" t="s">
        <v>2</v>
      </c>
      <c r="B3">
        <v>50</v>
      </c>
      <c r="C3">
        <v>7</v>
      </c>
    </row>
    <row r="4" spans="1:12" x14ac:dyDescent="0.3">
      <c r="A4" t="s">
        <v>3</v>
      </c>
      <c r="B4">
        <v>65</v>
      </c>
      <c r="C4">
        <v>8</v>
      </c>
    </row>
    <row r="5" spans="1:12" x14ac:dyDescent="0.3">
      <c r="A5" t="s">
        <v>4</v>
      </c>
      <c r="B5">
        <v>87</v>
      </c>
      <c r="C5">
        <v>9</v>
      </c>
    </row>
    <row r="6" spans="1:12" x14ac:dyDescent="0.3">
      <c r="A6" t="s">
        <v>5</v>
      </c>
      <c r="B6">
        <v>54</v>
      </c>
      <c r="C6">
        <v>6</v>
      </c>
    </row>
    <row r="7" spans="1:12" x14ac:dyDescent="0.3">
      <c r="A7" t="s">
        <v>6</v>
      </c>
      <c r="B7">
        <v>90</v>
      </c>
      <c r="C7">
        <v>5</v>
      </c>
    </row>
    <row r="8" spans="1:12" x14ac:dyDescent="0.3">
      <c r="A8" t="s">
        <v>7</v>
      </c>
      <c r="B8">
        <v>78</v>
      </c>
      <c r="C8">
        <v>3</v>
      </c>
    </row>
    <row r="9" spans="1:12" x14ac:dyDescent="0.3">
      <c r="A9" t="s">
        <v>8</v>
      </c>
      <c r="B9">
        <v>34</v>
      </c>
      <c r="C9">
        <v>5</v>
      </c>
    </row>
    <row r="10" spans="1:12" x14ac:dyDescent="0.3">
      <c r="A10" t="s">
        <v>9</v>
      </c>
      <c r="B10">
        <v>76</v>
      </c>
      <c r="C10">
        <v>5</v>
      </c>
    </row>
    <row r="11" spans="1:12" x14ac:dyDescent="0.3">
      <c r="A11" t="s">
        <v>12</v>
      </c>
      <c r="B11">
        <v>45</v>
      </c>
      <c r="C11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aneeshapalagiri@outlook.com</dc:creator>
  <cp:lastModifiedBy>aneeshapalagiri@outlook.com</cp:lastModifiedBy>
  <dcterms:created xsi:type="dcterms:W3CDTF">2026-05-26T08:32:32Z</dcterms:created>
  <dcterms:modified xsi:type="dcterms:W3CDTF">2026-05-26T15:06:08Z</dcterms:modified>
</cp:coreProperties>
</file>