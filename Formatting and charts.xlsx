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MITS\Downloads\"/>
    </mc:Choice>
  </mc:AlternateContent>
  <xr:revisionPtr revIDLastSave="0" documentId="13_ncr:1_{4F9344ED-2EB3-490B-B479-30D002B9DBB8}" xr6:coauthVersionLast="47" xr6:coauthVersionMax="47" xr10:uidLastSave="{00000000-0000-0000-0000-000000000000}"/>
  <bookViews>
    <workbookView minimized="1" xWindow="6270" yWindow="4185" windowWidth="21600" windowHeight="11295" firstSheet="1" activeTab="1" xr2:uid="{13F4AE79-2971-4DD1-83EB-84B9C5A6F743}"/>
  </bookViews>
  <sheets>
    <sheet name="SuperMarket Sales" sheetId="2" r:id="rId1"/>
    <sheet name="Sheet1" sheetId="3" r:id="rId2"/>
  </sheets>
  <definedNames>
    <definedName name="_xlnm._FilterDatabase" localSheetId="1" hidden="1">Sheet1!$B$2:$I$2</definedName>
    <definedName name="_xlnm._FilterDatabase" localSheetId="0" hidden="1">'SuperMarket Sales'!$B$8:$I$78</definedName>
  </definedNames>
  <calcPr calcId="191029"/>
  <pivotCaches>
    <pivotCache cacheId="5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33" i="2" l="1"/>
  <c r="N34" i="2"/>
  <c r="N32" i="2"/>
  <c r="F74" i="3"/>
  <c r="I78" i="2"/>
  <c r="H78" i="2"/>
  <c r="H77" i="2"/>
  <c r="I77" i="2" s="1"/>
  <c r="H76" i="2"/>
  <c r="I76" i="2" s="1"/>
  <c r="H75" i="2"/>
  <c r="I75" i="2" s="1"/>
  <c r="H74" i="2"/>
  <c r="I74" i="2" s="1"/>
  <c r="H73" i="2"/>
  <c r="I73" i="2" s="1"/>
  <c r="H72" i="2"/>
  <c r="I72" i="2" s="1"/>
  <c r="H71" i="2"/>
  <c r="I71" i="2" s="1"/>
  <c r="H70" i="2"/>
  <c r="I70" i="2" s="1"/>
  <c r="H69" i="2"/>
  <c r="I69" i="2" s="1"/>
  <c r="I68" i="2"/>
  <c r="H68" i="2"/>
  <c r="H67" i="2"/>
  <c r="I67" i="2" s="1"/>
  <c r="I66" i="2"/>
  <c r="H66" i="2"/>
  <c r="H65" i="2"/>
  <c r="I65" i="2" s="1"/>
  <c r="H64" i="2"/>
  <c r="I64" i="2" s="1"/>
  <c r="H63" i="2"/>
  <c r="I63" i="2" s="1"/>
  <c r="H62" i="2"/>
  <c r="I62" i="2" s="1"/>
  <c r="H61" i="2"/>
  <c r="I61" i="2" s="1"/>
  <c r="H60" i="2"/>
  <c r="I60" i="2" s="1"/>
  <c r="H59" i="2"/>
  <c r="I59" i="2" s="1"/>
  <c r="H58" i="2"/>
  <c r="I58" i="2" s="1"/>
  <c r="H57" i="2"/>
  <c r="I57" i="2" s="1"/>
  <c r="I56" i="2"/>
  <c r="H56" i="2"/>
  <c r="H55" i="2"/>
  <c r="I55" i="2" s="1"/>
  <c r="I54" i="2"/>
  <c r="H54" i="2"/>
  <c r="H53" i="2"/>
  <c r="I53" i="2" s="1"/>
  <c r="H52" i="2"/>
  <c r="I52" i="2" s="1"/>
  <c r="H51" i="2"/>
  <c r="I51" i="2" s="1"/>
  <c r="H50" i="2"/>
  <c r="I50" i="2" s="1"/>
  <c r="H49" i="2"/>
  <c r="I49" i="2" s="1"/>
  <c r="H48" i="2"/>
  <c r="I48" i="2" s="1"/>
  <c r="H47" i="2"/>
  <c r="I47" i="2" s="1"/>
  <c r="H46" i="2"/>
  <c r="I46" i="2" s="1"/>
  <c r="H45" i="2"/>
  <c r="I45" i="2" s="1"/>
  <c r="I44" i="2"/>
  <c r="H44" i="2"/>
  <c r="H43" i="2"/>
  <c r="I43" i="2" s="1"/>
  <c r="I42" i="2"/>
  <c r="H42" i="2"/>
  <c r="H41" i="2"/>
  <c r="I41" i="2" s="1"/>
  <c r="H40" i="2"/>
  <c r="I40" i="2" s="1"/>
  <c r="H39" i="2"/>
  <c r="I39" i="2" s="1"/>
  <c r="H38" i="2"/>
  <c r="I38" i="2" s="1"/>
  <c r="H37" i="2"/>
  <c r="I37" i="2" s="1"/>
  <c r="H36" i="2"/>
  <c r="I36" i="2" s="1"/>
  <c r="H35" i="2"/>
  <c r="I35" i="2" s="1"/>
  <c r="H34" i="2"/>
  <c r="I34" i="2" s="1"/>
  <c r="H33" i="2"/>
  <c r="I33" i="2" s="1"/>
  <c r="I32" i="2"/>
  <c r="H32" i="2"/>
  <c r="H31" i="2"/>
  <c r="I31" i="2" s="1"/>
  <c r="I30" i="2"/>
  <c r="H30" i="2"/>
  <c r="H29" i="2"/>
  <c r="I29" i="2" s="1"/>
  <c r="H28" i="2"/>
  <c r="I28" i="2" s="1"/>
  <c r="L27" i="2"/>
  <c r="H27" i="2"/>
  <c r="I27" i="2" s="1"/>
  <c r="H26" i="2"/>
  <c r="I26" i="2" s="1"/>
  <c r="H25" i="2"/>
  <c r="I25" i="2" s="1"/>
  <c r="H24" i="2"/>
  <c r="I24" i="2" s="1"/>
  <c r="H23" i="2"/>
  <c r="I23" i="2" s="1"/>
  <c r="H22" i="2"/>
  <c r="I22" i="2" s="1"/>
  <c r="H21" i="2"/>
  <c r="I21" i="2" s="1"/>
  <c r="H20" i="2"/>
  <c r="I20" i="2" s="1"/>
  <c r="I19" i="2"/>
  <c r="H19" i="2"/>
  <c r="H18" i="2"/>
  <c r="I18" i="2" s="1"/>
  <c r="H17" i="2"/>
  <c r="I17" i="2" s="1"/>
  <c r="H16" i="2"/>
  <c r="I16" i="2" s="1"/>
  <c r="H15" i="2"/>
  <c r="I15" i="2" s="1"/>
  <c r="H14" i="2"/>
  <c r="I14" i="2" s="1"/>
  <c r="H13" i="2"/>
  <c r="I13" i="2" s="1"/>
  <c r="H12" i="2"/>
  <c r="I12" i="2" s="1"/>
  <c r="H11" i="2"/>
  <c r="I11" i="2" s="1"/>
  <c r="H10" i="2"/>
  <c r="I10" i="2" s="1"/>
  <c r="H9" i="2"/>
  <c r="I9" i="2" s="1"/>
  <c r="I12" i="3" l="1"/>
  <c r="H12" i="3"/>
  <c r="I10" i="3"/>
  <c r="H10" i="3"/>
  <c r="I33" i="3"/>
  <c r="H33" i="3"/>
  <c r="I34" i="3"/>
  <c r="H34" i="3"/>
  <c r="I62" i="3"/>
  <c r="H62" i="3"/>
  <c r="I66" i="3"/>
  <c r="H66" i="3"/>
  <c r="I38" i="3"/>
  <c r="H38" i="3"/>
  <c r="I68" i="3"/>
  <c r="H68" i="3"/>
  <c r="I19" i="3"/>
  <c r="H19" i="3"/>
  <c r="I26" i="3"/>
  <c r="H26" i="3"/>
  <c r="I47" i="3"/>
  <c r="H47" i="3"/>
  <c r="I45" i="3"/>
  <c r="H45" i="3"/>
  <c r="I35" i="3"/>
  <c r="H35" i="3"/>
  <c r="I32" i="3"/>
  <c r="H32" i="3"/>
  <c r="I28" i="3"/>
  <c r="H28" i="3"/>
  <c r="I61" i="3"/>
  <c r="H61" i="3"/>
  <c r="I42" i="3"/>
  <c r="H42" i="3"/>
  <c r="I60" i="3"/>
  <c r="H60" i="3"/>
  <c r="I22" i="3"/>
  <c r="H22" i="3"/>
  <c r="I46" i="3"/>
  <c r="H46" i="3"/>
  <c r="I65" i="3"/>
  <c r="H65" i="3"/>
  <c r="I8" i="3"/>
  <c r="H8" i="3"/>
  <c r="I55" i="3"/>
  <c r="H55" i="3"/>
  <c r="I30" i="3"/>
  <c r="H30" i="3"/>
  <c r="I63" i="3"/>
  <c r="H63" i="3"/>
  <c r="I40" i="3"/>
  <c r="H40" i="3"/>
  <c r="I14" i="3"/>
  <c r="H14" i="3"/>
  <c r="I70" i="3"/>
  <c r="H70" i="3"/>
  <c r="I41" i="3"/>
  <c r="H41" i="3"/>
  <c r="I59" i="3"/>
  <c r="H59" i="3"/>
  <c r="I69" i="3"/>
  <c r="H69" i="3"/>
  <c r="I31" i="3"/>
  <c r="H31" i="3"/>
  <c r="I3" i="3"/>
  <c r="H3" i="3"/>
  <c r="I37" i="3"/>
  <c r="H37" i="3"/>
  <c r="I58" i="3"/>
  <c r="H58" i="3"/>
  <c r="I27" i="3"/>
  <c r="H27" i="3"/>
  <c r="I15" i="3"/>
  <c r="H15" i="3"/>
  <c r="I13" i="3"/>
  <c r="H13" i="3"/>
  <c r="I56" i="3"/>
  <c r="H56" i="3"/>
  <c r="I17" i="3"/>
  <c r="H17" i="3"/>
  <c r="I7" i="3"/>
  <c r="H7" i="3"/>
  <c r="I11" i="3"/>
  <c r="H11" i="3"/>
  <c r="I20" i="3"/>
  <c r="H20" i="3"/>
  <c r="I9" i="3"/>
  <c r="H9" i="3"/>
  <c r="I67" i="3"/>
  <c r="H67" i="3"/>
  <c r="I21" i="3"/>
  <c r="H21" i="3"/>
  <c r="I39" i="3"/>
  <c r="H39" i="3"/>
  <c r="I44" i="3"/>
  <c r="H44" i="3"/>
  <c r="I18" i="3"/>
  <c r="H18" i="3"/>
  <c r="I50" i="3"/>
  <c r="H50" i="3"/>
  <c r="I25" i="3"/>
  <c r="H25" i="3"/>
  <c r="I16" i="3"/>
  <c r="H16" i="3"/>
  <c r="I36" i="3"/>
  <c r="H36" i="3"/>
  <c r="I29" i="3"/>
  <c r="H29" i="3"/>
  <c r="I52" i="3"/>
  <c r="H52" i="3"/>
  <c r="I24" i="3"/>
  <c r="H24" i="3"/>
  <c r="I5" i="3"/>
  <c r="H5" i="3"/>
  <c r="I23" i="3"/>
  <c r="H23" i="3"/>
  <c r="I48" i="3"/>
  <c r="H48" i="3"/>
  <c r="I71" i="3"/>
  <c r="H71" i="3"/>
  <c r="I49" i="3"/>
  <c r="H49" i="3"/>
  <c r="I72" i="3"/>
  <c r="H72" i="3"/>
  <c r="I51" i="3"/>
  <c r="H51" i="3"/>
  <c r="I64" i="3"/>
  <c r="H64" i="3"/>
  <c r="H4" i="3"/>
  <c r="I4" i="3"/>
  <c r="H53" i="3"/>
  <c r="I53" i="3"/>
  <c r="H57" i="3"/>
  <c r="I57" i="3"/>
  <c r="H43" i="3"/>
  <c r="I43" i="3"/>
  <c r="H6" i="3"/>
  <c r="I6" i="3"/>
  <c r="H54" i="3"/>
  <c r="I54" i="3"/>
</calcChain>
</file>

<file path=xl/sharedStrings.xml><?xml version="1.0" encoding="utf-8"?>
<sst xmlns="http://schemas.openxmlformats.org/spreadsheetml/2006/main" count="253" uniqueCount="103">
  <si>
    <t>Excel Sample Data</t>
  </si>
  <si>
    <t>Supermarket Sales Data</t>
  </si>
  <si>
    <t>Tax</t>
  </si>
  <si>
    <t>Order No</t>
  </si>
  <si>
    <t>Order Date</t>
  </si>
  <si>
    <t>Customer Name</t>
  </si>
  <si>
    <t>Ship Date</t>
  </si>
  <si>
    <t>Retail Price (USD)</t>
  </si>
  <si>
    <t>Order Quantity</t>
  </si>
  <si>
    <t>Tax (USD)</t>
  </si>
  <si>
    <t>Total (USD)</t>
  </si>
  <si>
    <t>John Smith</t>
  </si>
  <si>
    <t>Jane Doe</t>
  </si>
  <si>
    <t>Michael Johnson</t>
  </si>
  <si>
    <t>Emily Brown</t>
  </si>
  <si>
    <t>David Wilson</t>
  </si>
  <si>
    <t>Lisa Taylor</t>
  </si>
  <si>
    <t>Daniel Martinez</t>
  </si>
  <si>
    <t>Sarah Anderson</t>
  </si>
  <si>
    <t>Christopher Thomas</t>
  </si>
  <si>
    <t>Kimberly Garcia</t>
  </si>
  <si>
    <t>William Hernandez</t>
  </si>
  <si>
    <t>Melissa Lopez</t>
  </si>
  <si>
    <t>Richard Perez</t>
  </si>
  <si>
    <t>Jessica Gonzalez</t>
  </si>
  <si>
    <t>Matthew Wilson</t>
  </si>
  <si>
    <t>Amanda Martinez</t>
  </si>
  <si>
    <t>James Johnson</t>
  </si>
  <si>
    <t>Laura Brown</t>
  </si>
  <si>
    <t>Daniel Smith</t>
  </si>
  <si>
    <t>Jennifer Davis</t>
  </si>
  <si>
    <t>Michael Garcia</t>
  </si>
  <si>
    <t>Amy Hernandez</t>
  </si>
  <si>
    <t>Christopher Rodriguez</t>
  </si>
  <si>
    <t>Jessica Martinez</t>
  </si>
  <si>
    <t>Sarah Smith</t>
  </si>
  <si>
    <t>Matthew Johnson</t>
  </si>
  <si>
    <t>Emily Davis</t>
  </si>
  <si>
    <t>Daniel Wilson</t>
  </si>
  <si>
    <t>Jennifer Martinez</t>
  </si>
  <si>
    <t>Michael Smith</t>
  </si>
  <si>
    <t>Jessica Johnson</t>
  </si>
  <si>
    <t>David Brown</t>
  </si>
  <si>
    <t>Sarah Garcia</t>
  </si>
  <si>
    <t>Matthew Hernandez</t>
  </si>
  <si>
    <t>Emily Rodriguez</t>
  </si>
  <si>
    <t>Daniel Davis</t>
  </si>
  <si>
    <t>Jennifer Smith</t>
  </si>
  <si>
    <t>Sarah Johnson</t>
  </si>
  <si>
    <t>Matthew Garcia</t>
  </si>
  <si>
    <t>Daniel Hernandez</t>
  </si>
  <si>
    <t>Michael Martinez</t>
  </si>
  <si>
    <t>Jessica Wilson</t>
  </si>
  <si>
    <t>David Rodriguez</t>
  </si>
  <si>
    <t>Sarah Gonzalez</t>
  </si>
  <si>
    <t>Matthew Smith</t>
  </si>
  <si>
    <t>Emily Johnson</t>
  </si>
  <si>
    <t>Daniel Brown</t>
  </si>
  <si>
    <t>Jennifer Hernandez</t>
  </si>
  <si>
    <t>Michael Davis</t>
  </si>
  <si>
    <t>Jessica Smith</t>
  </si>
  <si>
    <t>David Martinez</t>
  </si>
  <si>
    <r>
      <t xml:space="preserve">Highlight orders where </t>
    </r>
    <r>
      <rPr>
        <b/>
        <sz val="11"/>
        <color theme="1"/>
        <rFont val="Aptos Narrow"/>
        <family val="2"/>
        <scheme val="minor"/>
      </rPr>
      <t>Total (USD) &gt; 200</t>
    </r>
    <r>
      <rPr>
        <sz val="11"/>
        <color theme="1"/>
        <rFont val="Aptos Narrow"/>
        <family val="2"/>
        <scheme val="minor"/>
      </rPr>
      <t>.</t>
    </r>
  </si>
  <si>
    <r>
      <t xml:space="preserve">Highlight customers whose </t>
    </r>
    <r>
      <rPr>
        <b/>
        <sz val="11"/>
        <color theme="1"/>
        <rFont val="Aptos Narrow"/>
        <family val="2"/>
        <scheme val="minor"/>
      </rPr>
      <t>Order Quantity is greater than 2</t>
    </r>
    <r>
      <rPr>
        <sz val="11"/>
        <color theme="1"/>
        <rFont val="Aptos Narrow"/>
        <family val="2"/>
        <scheme val="minor"/>
      </rPr>
      <t>.</t>
    </r>
  </si>
  <si>
    <r>
      <t xml:space="preserve">Highlight orders with </t>
    </r>
    <r>
      <rPr>
        <b/>
        <sz val="11"/>
        <color theme="1"/>
        <rFont val="Aptos Narrow"/>
        <family val="2"/>
        <scheme val="minor"/>
      </rPr>
      <t>Retail Price between $50 and $100</t>
    </r>
    <r>
      <rPr>
        <sz val="11"/>
        <color theme="1"/>
        <rFont val="Aptos Narrow"/>
        <family val="2"/>
        <scheme val="minor"/>
      </rPr>
      <t>.</t>
    </r>
  </si>
  <si>
    <r>
      <t xml:space="preserve">Highlight rows where </t>
    </r>
    <r>
      <rPr>
        <b/>
        <sz val="11"/>
        <color theme="1"/>
        <rFont val="Aptos Narrow"/>
        <family val="2"/>
        <scheme val="minor"/>
      </rPr>
      <t>Tax (USD) exceeds $15</t>
    </r>
    <r>
      <rPr>
        <sz val="11"/>
        <color theme="1"/>
        <rFont val="Aptos Narrow"/>
        <family val="2"/>
        <scheme val="minor"/>
      </rPr>
      <t>.</t>
    </r>
  </si>
  <si>
    <r>
      <t xml:space="preserve">Highlight the </t>
    </r>
    <r>
      <rPr>
        <b/>
        <sz val="11"/>
        <color theme="1"/>
        <rFont val="Aptos Narrow"/>
        <family val="2"/>
        <scheme val="minor"/>
      </rPr>
      <t>top 10 highest Total (USD)</t>
    </r>
    <r>
      <rPr>
        <sz val="11"/>
        <color theme="1"/>
        <rFont val="Aptos Narrow"/>
        <family val="2"/>
        <scheme val="minor"/>
      </rPr>
      <t xml:space="preserve"> values.</t>
    </r>
  </si>
  <si>
    <r>
      <t xml:space="preserve">Highlight the </t>
    </r>
    <r>
      <rPr>
        <b/>
        <sz val="11"/>
        <color theme="1"/>
        <rFont val="Aptos Narrow"/>
        <family val="2"/>
        <scheme val="minor"/>
      </rPr>
      <t>bottom 5 Total (USD)</t>
    </r>
    <r>
      <rPr>
        <sz val="11"/>
        <color theme="1"/>
        <rFont val="Aptos Narrow"/>
        <family val="2"/>
        <scheme val="minor"/>
      </rPr>
      <t xml:space="preserve"> values.</t>
    </r>
  </si>
  <si>
    <r>
      <t xml:space="preserve">Apply color scales to </t>
    </r>
    <r>
      <rPr>
        <b/>
        <sz val="11"/>
        <color theme="1"/>
        <rFont val="Aptos Narrow"/>
        <family val="2"/>
        <scheme val="minor"/>
      </rPr>
      <t>Total (USD)</t>
    </r>
    <r>
      <rPr>
        <sz val="11"/>
        <color theme="1"/>
        <rFont val="Aptos Narrow"/>
        <family val="2"/>
        <scheme val="minor"/>
      </rPr>
      <t>.</t>
    </r>
  </si>
  <si>
    <r>
      <t xml:space="preserve">Highlight duplicate </t>
    </r>
    <r>
      <rPr>
        <b/>
        <sz val="11"/>
        <color theme="1"/>
        <rFont val="Aptos Narrow"/>
        <family val="2"/>
        <scheme val="minor"/>
      </rPr>
      <t>Customer Names</t>
    </r>
    <r>
      <rPr>
        <sz val="11"/>
        <color theme="1"/>
        <rFont val="Aptos Narrow"/>
        <family val="2"/>
        <scheme val="minor"/>
      </rPr>
      <t>.</t>
    </r>
  </si>
  <si>
    <r>
      <t xml:space="preserve">Highlight unique </t>
    </r>
    <r>
      <rPr>
        <b/>
        <sz val="11"/>
        <color theme="1"/>
        <rFont val="Aptos Narrow"/>
        <family val="2"/>
        <scheme val="minor"/>
      </rPr>
      <t>Customer Names</t>
    </r>
    <r>
      <rPr>
        <sz val="11"/>
        <color theme="1"/>
        <rFont val="Aptos Narrow"/>
        <family val="2"/>
        <scheme val="minor"/>
      </rPr>
      <t>.</t>
    </r>
  </si>
  <si>
    <r>
      <t xml:space="preserve">Highlight orders placed on </t>
    </r>
    <r>
      <rPr>
        <b/>
        <sz val="11"/>
        <color theme="1"/>
        <rFont val="Aptos Narrow"/>
        <family val="2"/>
        <scheme val="minor"/>
      </rPr>
      <t>weekends</t>
    </r>
    <r>
      <rPr>
        <sz val="11"/>
        <color theme="1"/>
        <rFont val="Aptos Narrow"/>
        <family val="2"/>
        <scheme val="minor"/>
      </rPr>
      <t>.</t>
    </r>
  </si>
  <si>
    <t>INTERVALS</t>
  </si>
  <si>
    <t>0-10</t>
  </si>
  <si>
    <t>10-20</t>
  </si>
  <si>
    <t>20-30</t>
  </si>
  <si>
    <t>30-40</t>
  </si>
  <si>
    <t>11. Highlight rows where:</t>
  </si>
  <si>
    <t>Total (USD) &gt; 150</t>
  </si>
  <si>
    <t>AND Quantity &gt; 2</t>
  </si>
  <si>
    <t>12. Highlight orders where:</t>
  </si>
  <si>
    <t>Retail Price &gt; Average Retail Price</t>
  </si>
  <si>
    <r>
      <t xml:space="preserve">13. Highlight customers whose order value is in the </t>
    </r>
    <r>
      <rPr>
        <b/>
        <sz val="11"/>
        <color theme="1"/>
        <rFont val="Aptos Narrow"/>
        <family val="2"/>
        <scheme val="minor"/>
      </rPr>
      <t>top 20%</t>
    </r>
    <r>
      <rPr>
        <sz val="11"/>
        <color theme="1"/>
        <rFont val="Aptos Narrow"/>
        <family val="2"/>
        <scheme val="minor"/>
      </rPr>
      <t>.</t>
    </r>
  </si>
  <si>
    <r>
      <t xml:space="preserve">14. Highlight orders shipped within </t>
    </r>
    <r>
      <rPr>
        <b/>
        <sz val="11"/>
        <color theme="1"/>
        <rFont val="Aptos Narrow"/>
        <family val="2"/>
        <scheme val="minor"/>
      </rPr>
      <t>2 days</t>
    </r>
    <r>
      <rPr>
        <sz val="11"/>
        <color theme="1"/>
        <rFont val="Aptos Narrow"/>
        <family val="2"/>
        <scheme val="minor"/>
      </rPr>
      <t>.</t>
    </r>
  </si>
  <si>
    <r>
      <t xml:space="preserve">15. Highlight orders shipped after </t>
    </r>
    <r>
      <rPr>
        <b/>
        <sz val="11"/>
        <color theme="1"/>
        <rFont val="Aptos Narrow"/>
        <family val="2"/>
        <scheme val="minor"/>
      </rPr>
      <t>5 days</t>
    </r>
    <r>
      <rPr>
        <sz val="11"/>
        <color theme="1"/>
        <rFont val="Aptos Narrow"/>
        <family val="2"/>
        <scheme val="minor"/>
      </rPr>
      <t>.</t>
    </r>
  </si>
  <si>
    <t>16. Highlight rows where:</t>
  </si>
  <si>
    <t>Quantity = 1</t>
  </si>
  <si>
    <t>AND Total &gt; 100</t>
  </si>
  <si>
    <r>
      <t xml:space="preserve">17. Highlight orders where Tax is </t>
    </r>
    <r>
      <rPr>
        <b/>
        <sz val="11"/>
        <color theme="1"/>
        <rFont val="Aptos Narrow"/>
        <family val="2"/>
        <scheme val="minor"/>
      </rPr>
      <t>more than 10% of Total</t>
    </r>
    <r>
      <rPr>
        <sz val="11"/>
        <color theme="1"/>
        <rFont val="Aptos Narrow"/>
        <family val="2"/>
        <scheme val="minor"/>
      </rPr>
      <t>.</t>
    </r>
  </si>
  <si>
    <t>18. Highlight every alternate row (zebra pattern) using formulas.</t>
  </si>
  <si>
    <r>
      <t xml:space="preserve">19. Highlight records where Order Date and Ship Date fall in the </t>
    </r>
    <r>
      <rPr>
        <b/>
        <sz val="11"/>
        <color theme="1"/>
        <rFont val="Aptos Narrow"/>
        <family val="2"/>
        <scheme val="minor"/>
      </rPr>
      <t>same week</t>
    </r>
    <r>
      <rPr>
        <sz val="11"/>
        <color theme="1"/>
        <rFont val="Aptos Narrow"/>
        <family val="2"/>
        <scheme val="minor"/>
      </rPr>
      <t>.</t>
    </r>
  </si>
  <si>
    <r>
      <t xml:space="preserve">20. Highlight orders placed in the </t>
    </r>
    <r>
      <rPr>
        <b/>
        <sz val="11"/>
        <color theme="1"/>
        <rFont val="Aptos Narrow"/>
        <family val="2"/>
        <scheme val="minor"/>
      </rPr>
      <t>last 10 days of the month</t>
    </r>
    <r>
      <rPr>
        <sz val="11"/>
        <color theme="1"/>
        <rFont val="Aptos Narrow"/>
        <family val="2"/>
        <scheme val="minor"/>
      </rPr>
      <t>.</t>
    </r>
  </si>
  <si>
    <t>AVERAGE</t>
  </si>
  <si>
    <t>10-120</t>
  </si>
  <si>
    <t>A1</t>
  </si>
  <si>
    <t>A2</t>
  </si>
  <si>
    <t>A3</t>
  </si>
  <si>
    <t>Column Labels</t>
  </si>
  <si>
    <t>Grand Total</t>
  </si>
  <si>
    <t>Row Labels</t>
  </si>
  <si>
    <t>Sum of Tax (USD)</t>
  </si>
  <si>
    <t>Jan</t>
  </si>
  <si>
    <t>Feb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</si>
</sst>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4"/>
      <color rgb="FF272760"/>
      <name val="Calibri"/>
      <family val="2"/>
    </font>
    <font>
      <sz val="11"/>
      <color theme="1"/>
      <name val="Calibri"/>
      <family val="2"/>
    </font>
    <font>
      <b/>
      <sz val="13"/>
      <color rgb="FF272760"/>
      <name val="Calibri"/>
      <family val="2"/>
    </font>
    <font>
      <b/>
      <sz val="12"/>
      <color rgb="FFFFFFFF"/>
      <name val="Calibri"/>
      <family val="2"/>
    </font>
    <font>
      <sz val="11"/>
      <color rgb="FF000000"/>
      <name val="Calibri"/>
      <family val="2"/>
    </font>
    <font>
      <b/>
      <sz val="11"/>
      <color theme="1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8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  <fill>
      <patternFill patternType="solid">
        <fgColor rgb="FF272760"/>
        <bgColor indexed="64"/>
      </patternFill>
    </fill>
    <fill>
      <patternFill patternType="solid">
        <fgColor rgb="FFC6EFCE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272760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8" fillId="4" borderId="0" applyNumberFormat="0" applyBorder="0" applyAlignment="0" applyProtection="0"/>
  </cellStyleXfs>
  <cellXfs count="20">
    <xf numFmtId="0" fontId="0" fillId="0" borderId="0" xfId="0"/>
    <xf numFmtId="0" fontId="2" fillId="2" borderId="1" xfId="0" applyFont="1" applyFill="1" applyBorder="1" applyAlignment="1">
      <alignment horizontal="centerContinuous" vertical="center"/>
    </xf>
    <xf numFmtId="0" fontId="3" fillId="0" borderId="0" xfId="0" applyFont="1"/>
    <xf numFmtId="0" fontId="4" fillId="2" borderId="1" xfId="0" applyFont="1" applyFill="1" applyBorder="1" applyAlignment="1">
      <alignment horizontal="centerContinuous" vertical="center"/>
    </xf>
    <xf numFmtId="0" fontId="5" fillId="3" borderId="2" xfId="0" applyFont="1" applyFill="1" applyBorder="1" applyAlignment="1">
      <alignment horizontal="center" vertical="center"/>
    </xf>
    <xf numFmtId="9" fontId="6" fillId="0" borderId="2" xfId="1" applyFont="1" applyBorder="1" applyAlignment="1">
      <alignment vertical="center"/>
    </xf>
    <xf numFmtId="0" fontId="5" fillId="3" borderId="3" xfId="0" applyFont="1" applyFill="1" applyBorder="1" applyAlignment="1">
      <alignment horizontal="center" vertical="center"/>
    </xf>
    <xf numFmtId="0" fontId="6" fillId="0" borderId="2" xfId="0" applyFont="1" applyBorder="1" applyAlignment="1">
      <alignment vertical="center"/>
    </xf>
    <xf numFmtId="14" fontId="6" fillId="0" borderId="2" xfId="0" applyNumberFormat="1" applyFont="1" applyBorder="1" applyAlignment="1">
      <alignment vertical="center"/>
    </xf>
    <xf numFmtId="14" fontId="3" fillId="0" borderId="0" xfId="0" applyNumberFormat="1" applyFont="1"/>
    <xf numFmtId="1" fontId="6" fillId="0" borderId="2" xfId="0" applyNumberFormat="1" applyFont="1" applyBorder="1" applyAlignment="1">
      <alignment vertical="center"/>
    </xf>
    <xf numFmtId="16" fontId="3" fillId="0" borderId="0" xfId="0" applyNumberFormat="1" applyFont="1"/>
    <xf numFmtId="49" fontId="3" fillId="0" borderId="0" xfId="0" applyNumberFormat="1" applyFont="1"/>
    <xf numFmtId="0" fontId="0" fillId="0" borderId="0" xfId="0" applyAlignment="1">
      <alignment horizontal="left" vertical="center" indent="1"/>
    </xf>
    <xf numFmtId="0" fontId="8" fillId="4" borderId="0" xfId="2" applyAlignment="1">
      <alignment horizontal="left" vertical="center" indent="1"/>
    </xf>
    <xf numFmtId="0" fontId="8" fillId="4" borderId="0" xfId="2"/>
    <xf numFmtId="1" fontId="0" fillId="0" borderId="0" xfId="0" applyNumberFormat="1"/>
    <xf numFmtId="0" fontId="3" fillId="0" borderId="0" xfId="0" quotePrefix="1" applyFont="1"/>
    <xf numFmtId="0" fontId="0" fillId="0" borderId="0" xfId="0" pivotButton="1"/>
    <xf numFmtId="0" fontId="0" fillId="0" borderId="0" xfId="0" applyAlignment="1">
      <alignment horizontal="left"/>
    </xf>
  </cellXfs>
  <cellStyles count="3">
    <cellStyle name="Good" xfId="2" builtinId="26"/>
    <cellStyle name="Normal" xfId="0" builtinId="0"/>
    <cellStyle name="Percent" xfId="1" builtinId="5"/>
  </cellStyles>
  <dxfs count="14">
    <dxf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7" tint="0.79998168889431442"/>
        </patternFill>
      </fill>
    </dxf>
    <dxf>
      <fill>
        <patternFill>
          <bgColor rgb="FFC00000"/>
        </patternFill>
      </fill>
    </dxf>
    <dxf>
      <fill>
        <patternFill>
          <bgColor theme="0" tint="-0.2499465926084170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Sheet1!$G$2</c:f>
              <c:strCache>
                <c:ptCount val="1"/>
                <c:pt idx="0">
                  <c:v>Order Quantity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Sheet1!$D$3:$D$72</c:f>
              <c:strCache>
                <c:ptCount val="70"/>
                <c:pt idx="0">
                  <c:v>John Smith</c:v>
                </c:pt>
                <c:pt idx="1">
                  <c:v>Jane Doe</c:v>
                </c:pt>
                <c:pt idx="2">
                  <c:v>Michael Johnson</c:v>
                </c:pt>
                <c:pt idx="3">
                  <c:v>Emily Brown</c:v>
                </c:pt>
                <c:pt idx="4">
                  <c:v>David Wilson</c:v>
                </c:pt>
                <c:pt idx="5">
                  <c:v>Lisa Taylor</c:v>
                </c:pt>
                <c:pt idx="6">
                  <c:v>Daniel Martinez</c:v>
                </c:pt>
                <c:pt idx="7">
                  <c:v>Sarah Anderson</c:v>
                </c:pt>
                <c:pt idx="8">
                  <c:v>Christopher Thomas</c:v>
                </c:pt>
                <c:pt idx="9">
                  <c:v>Kimberly Garcia</c:v>
                </c:pt>
                <c:pt idx="10">
                  <c:v>William Hernandez</c:v>
                </c:pt>
                <c:pt idx="11">
                  <c:v>Melissa Lopez</c:v>
                </c:pt>
                <c:pt idx="12">
                  <c:v>Richard Perez</c:v>
                </c:pt>
                <c:pt idx="13">
                  <c:v>Jessica Gonzalez</c:v>
                </c:pt>
                <c:pt idx="14">
                  <c:v>Matthew Wilson</c:v>
                </c:pt>
                <c:pt idx="15">
                  <c:v>Amanda Martinez</c:v>
                </c:pt>
                <c:pt idx="16">
                  <c:v>James Johnson</c:v>
                </c:pt>
                <c:pt idx="17">
                  <c:v>Laura Brown</c:v>
                </c:pt>
                <c:pt idx="18">
                  <c:v>Daniel Smith</c:v>
                </c:pt>
                <c:pt idx="19">
                  <c:v>Jennifer Davis</c:v>
                </c:pt>
                <c:pt idx="20">
                  <c:v>Michael Garcia</c:v>
                </c:pt>
                <c:pt idx="21">
                  <c:v>Amy Hernandez</c:v>
                </c:pt>
                <c:pt idx="22">
                  <c:v>Christopher Rodriguez</c:v>
                </c:pt>
                <c:pt idx="23">
                  <c:v>Jessica Martinez</c:v>
                </c:pt>
                <c:pt idx="24">
                  <c:v>David Wilson</c:v>
                </c:pt>
                <c:pt idx="25">
                  <c:v>Sarah Smith</c:v>
                </c:pt>
                <c:pt idx="26">
                  <c:v>Matthew Johnson</c:v>
                </c:pt>
                <c:pt idx="27">
                  <c:v>Emily Davis</c:v>
                </c:pt>
                <c:pt idx="28">
                  <c:v>Daniel Wilson</c:v>
                </c:pt>
                <c:pt idx="29">
                  <c:v>Jennifer Martinez</c:v>
                </c:pt>
                <c:pt idx="30">
                  <c:v>Michael Smith</c:v>
                </c:pt>
                <c:pt idx="31">
                  <c:v>Jessica Johnson</c:v>
                </c:pt>
                <c:pt idx="32">
                  <c:v>David Brown</c:v>
                </c:pt>
                <c:pt idx="33">
                  <c:v>Sarah Garcia</c:v>
                </c:pt>
                <c:pt idx="34">
                  <c:v>Matthew Hernandez</c:v>
                </c:pt>
                <c:pt idx="35">
                  <c:v>Emily Rodriguez</c:v>
                </c:pt>
                <c:pt idx="36">
                  <c:v>Daniel Davis</c:v>
                </c:pt>
                <c:pt idx="37">
                  <c:v>Jennifer Smith</c:v>
                </c:pt>
                <c:pt idx="38">
                  <c:v>Michael Johnson</c:v>
                </c:pt>
                <c:pt idx="39">
                  <c:v>Jessica Martinez</c:v>
                </c:pt>
                <c:pt idx="40">
                  <c:v>David Wilson</c:v>
                </c:pt>
                <c:pt idx="41">
                  <c:v>Sarah Johnson</c:v>
                </c:pt>
                <c:pt idx="42">
                  <c:v>Matthew Garcia</c:v>
                </c:pt>
                <c:pt idx="43">
                  <c:v>Emily Brown</c:v>
                </c:pt>
                <c:pt idx="44">
                  <c:v>Daniel Hernandez</c:v>
                </c:pt>
                <c:pt idx="45">
                  <c:v>Jennifer Davis</c:v>
                </c:pt>
                <c:pt idx="46">
                  <c:v>Michael Martinez</c:v>
                </c:pt>
                <c:pt idx="47">
                  <c:v>Jessica Wilson</c:v>
                </c:pt>
                <c:pt idx="48">
                  <c:v>David Rodriguez</c:v>
                </c:pt>
                <c:pt idx="49">
                  <c:v>Sarah Gonzalez</c:v>
                </c:pt>
                <c:pt idx="50">
                  <c:v>Matthew Smith</c:v>
                </c:pt>
                <c:pt idx="51">
                  <c:v>Emily Johnson</c:v>
                </c:pt>
                <c:pt idx="52">
                  <c:v>Daniel Brown</c:v>
                </c:pt>
                <c:pt idx="53">
                  <c:v>Jennifer Hernandez</c:v>
                </c:pt>
                <c:pt idx="54">
                  <c:v>Michael Davis</c:v>
                </c:pt>
                <c:pt idx="55">
                  <c:v>Jessica Smith</c:v>
                </c:pt>
                <c:pt idx="56">
                  <c:v>David Martinez</c:v>
                </c:pt>
                <c:pt idx="57">
                  <c:v>Sarah Johnson</c:v>
                </c:pt>
                <c:pt idx="58">
                  <c:v>Matthew Garcia</c:v>
                </c:pt>
                <c:pt idx="59">
                  <c:v>Emily Brown</c:v>
                </c:pt>
                <c:pt idx="60">
                  <c:v>Daniel Hernandez</c:v>
                </c:pt>
                <c:pt idx="61">
                  <c:v>Jennifer Davis</c:v>
                </c:pt>
                <c:pt idx="62">
                  <c:v>Michael Martinez</c:v>
                </c:pt>
                <c:pt idx="63">
                  <c:v>Jessica Wilson</c:v>
                </c:pt>
                <c:pt idx="64">
                  <c:v>David Rodriguez</c:v>
                </c:pt>
                <c:pt idx="65">
                  <c:v>Sarah Gonzalez</c:v>
                </c:pt>
                <c:pt idx="66">
                  <c:v>Matthew Smith</c:v>
                </c:pt>
                <c:pt idx="67">
                  <c:v>Emily Johnson</c:v>
                </c:pt>
                <c:pt idx="68">
                  <c:v>Daniel Brown</c:v>
                </c:pt>
                <c:pt idx="69">
                  <c:v>Jennifer Hernandez</c:v>
                </c:pt>
              </c:strCache>
            </c:strRef>
          </c:cat>
          <c:val>
            <c:numRef>
              <c:f>Sheet1!$G$3:$G$72</c:f>
              <c:numCache>
                <c:formatCode>General</c:formatCode>
                <c:ptCount val="70"/>
                <c:pt idx="0">
                  <c:v>2</c:v>
                </c:pt>
                <c:pt idx="1">
                  <c:v>1</c:v>
                </c:pt>
                <c:pt idx="2">
                  <c:v>3</c:v>
                </c:pt>
                <c:pt idx="3">
                  <c:v>4</c:v>
                </c:pt>
                <c:pt idx="4">
                  <c:v>1</c:v>
                </c:pt>
                <c:pt idx="5">
                  <c:v>2</c:v>
                </c:pt>
                <c:pt idx="6">
                  <c:v>3</c:v>
                </c:pt>
                <c:pt idx="7">
                  <c:v>2</c:v>
                </c:pt>
                <c:pt idx="8">
                  <c:v>1</c:v>
                </c:pt>
                <c:pt idx="9">
                  <c:v>1</c:v>
                </c:pt>
                <c:pt idx="10">
                  <c:v>5</c:v>
                </c:pt>
                <c:pt idx="11">
                  <c:v>2</c:v>
                </c:pt>
                <c:pt idx="12">
                  <c:v>3</c:v>
                </c:pt>
                <c:pt idx="13">
                  <c:v>1</c:v>
                </c:pt>
                <c:pt idx="14">
                  <c:v>4</c:v>
                </c:pt>
                <c:pt idx="15">
                  <c:v>1</c:v>
                </c:pt>
                <c:pt idx="16">
                  <c:v>2</c:v>
                </c:pt>
                <c:pt idx="17">
                  <c:v>3</c:v>
                </c:pt>
                <c:pt idx="18">
                  <c:v>1</c:v>
                </c:pt>
                <c:pt idx="19">
                  <c:v>5</c:v>
                </c:pt>
                <c:pt idx="20">
                  <c:v>2</c:v>
                </c:pt>
                <c:pt idx="21">
                  <c:v>3</c:v>
                </c:pt>
                <c:pt idx="22">
                  <c:v>1</c:v>
                </c:pt>
                <c:pt idx="23">
                  <c:v>4</c:v>
                </c:pt>
                <c:pt idx="24">
                  <c:v>1</c:v>
                </c:pt>
                <c:pt idx="25">
                  <c:v>2</c:v>
                </c:pt>
                <c:pt idx="26">
                  <c:v>3</c:v>
                </c:pt>
                <c:pt idx="27">
                  <c:v>1</c:v>
                </c:pt>
                <c:pt idx="28">
                  <c:v>5</c:v>
                </c:pt>
                <c:pt idx="29">
                  <c:v>2</c:v>
                </c:pt>
                <c:pt idx="30">
                  <c:v>3</c:v>
                </c:pt>
                <c:pt idx="31">
                  <c:v>1</c:v>
                </c:pt>
                <c:pt idx="32">
                  <c:v>4</c:v>
                </c:pt>
                <c:pt idx="33">
                  <c:v>1</c:v>
                </c:pt>
                <c:pt idx="34">
                  <c:v>2</c:v>
                </c:pt>
                <c:pt idx="35">
                  <c:v>3</c:v>
                </c:pt>
                <c:pt idx="36">
                  <c:v>1</c:v>
                </c:pt>
                <c:pt idx="37">
                  <c:v>5</c:v>
                </c:pt>
                <c:pt idx="38">
                  <c:v>2</c:v>
                </c:pt>
                <c:pt idx="39">
                  <c:v>3</c:v>
                </c:pt>
                <c:pt idx="40">
                  <c:v>1</c:v>
                </c:pt>
                <c:pt idx="41">
                  <c:v>4</c:v>
                </c:pt>
                <c:pt idx="42">
                  <c:v>1</c:v>
                </c:pt>
                <c:pt idx="43">
                  <c:v>2</c:v>
                </c:pt>
                <c:pt idx="44">
                  <c:v>3</c:v>
                </c:pt>
                <c:pt idx="45">
                  <c:v>1</c:v>
                </c:pt>
                <c:pt idx="46">
                  <c:v>5</c:v>
                </c:pt>
                <c:pt idx="47">
                  <c:v>2</c:v>
                </c:pt>
                <c:pt idx="48">
                  <c:v>3</c:v>
                </c:pt>
                <c:pt idx="49">
                  <c:v>1</c:v>
                </c:pt>
                <c:pt idx="50">
                  <c:v>4</c:v>
                </c:pt>
                <c:pt idx="51">
                  <c:v>1</c:v>
                </c:pt>
                <c:pt idx="52">
                  <c:v>2</c:v>
                </c:pt>
                <c:pt idx="53">
                  <c:v>3</c:v>
                </c:pt>
                <c:pt idx="54">
                  <c:v>1</c:v>
                </c:pt>
                <c:pt idx="55">
                  <c:v>5</c:v>
                </c:pt>
                <c:pt idx="56">
                  <c:v>2</c:v>
                </c:pt>
                <c:pt idx="57">
                  <c:v>3</c:v>
                </c:pt>
                <c:pt idx="58">
                  <c:v>1</c:v>
                </c:pt>
                <c:pt idx="59">
                  <c:v>4</c:v>
                </c:pt>
                <c:pt idx="60">
                  <c:v>1</c:v>
                </c:pt>
                <c:pt idx="61">
                  <c:v>2</c:v>
                </c:pt>
                <c:pt idx="62">
                  <c:v>3</c:v>
                </c:pt>
                <c:pt idx="63">
                  <c:v>1</c:v>
                </c:pt>
                <c:pt idx="64">
                  <c:v>5</c:v>
                </c:pt>
                <c:pt idx="65">
                  <c:v>2</c:v>
                </c:pt>
                <c:pt idx="66">
                  <c:v>3</c:v>
                </c:pt>
                <c:pt idx="67">
                  <c:v>1</c:v>
                </c:pt>
                <c:pt idx="68">
                  <c:v>4</c:v>
                </c:pt>
                <c:pt idx="69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538-4214-BE60-4C51964C9B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93618431"/>
        <c:axId val="1193624671"/>
      </c:barChart>
      <c:catAx>
        <c:axId val="11936184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3624671"/>
        <c:crosses val="autoZero"/>
        <c:auto val="1"/>
        <c:lblAlgn val="ctr"/>
        <c:lblOffset val="100"/>
        <c:noMultiLvlLbl val="0"/>
      </c:catAx>
      <c:valAx>
        <c:axId val="11936246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361843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266700</xdr:colOff>
      <xdr:row>3</xdr:row>
      <xdr:rowOff>23812</xdr:rowOff>
    </xdr:from>
    <xdr:to>
      <xdr:col>27</xdr:col>
      <xdr:colOff>666750</xdr:colOff>
      <xdr:row>17</xdr:row>
      <xdr:rowOff>100012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50473F0-3080-9A7C-9233-2BD2AB4A5E1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TS" refreshedDate="46178.404798148149" createdVersion="8" refreshedVersion="8" minRefreshableVersion="3" recordCount="70" xr:uid="{511782EB-5BFE-45AB-8289-5B9AF2D45E7A}">
  <cacheSource type="worksheet">
    <worksheetSource ref="B2:I72" sheet="Sheet1"/>
  </cacheSource>
  <cacheFields count="10">
    <cacheField name="Order No" numFmtId="0">
      <sharedItems containsSemiMixedTypes="0" containsString="0" containsNumber="1" containsInteger="1" minValue="1001" maxValue="1070"/>
    </cacheField>
    <cacheField name="Order Date" numFmtId="14">
      <sharedItems containsSemiMixedTypes="0" containsNonDate="0" containsDate="1" containsString="0" minDate="2024-01-01T00:00:00" maxDate="2024-02-05T00:00:00"/>
    </cacheField>
    <cacheField name="Customer Name" numFmtId="0">
      <sharedItems count="51">
        <s v="John Smith"/>
        <s v="Jane Doe"/>
        <s v="Michael Johnson"/>
        <s v="Emily Brown"/>
        <s v="David Wilson"/>
        <s v="Lisa Taylor"/>
        <s v="Daniel Martinez"/>
        <s v="Sarah Anderson"/>
        <s v="Christopher Thomas"/>
        <s v="Kimberly Garcia"/>
        <s v="William Hernandez"/>
        <s v="Melissa Lopez"/>
        <s v="Richard Perez"/>
        <s v="Jessica Gonzalez"/>
        <s v="Matthew Wilson"/>
        <s v="Amanda Martinez"/>
        <s v="James Johnson"/>
        <s v="Laura Brown"/>
        <s v="Daniel Smith"/>
        <s v="Jennifer Davis"/>
        <s v="Michael Garcia"/>
        <s v="Amy Hernandez"/>
        <s v="Christopher Rodriguez"/>
        <s v="Jessica Martinez"/>
        <s v="Sarah Smith"/>
        <s v="Matthew Johnson"/>
        <s v="Emily Davis"/>
        <s v="Daniel Wilson"/>
        <s v="Jennifer Martinez"/>
        <s v="Michael Smith"/>
        <s v="Jessica Johnson"/>
        <s v="David Brown"/>
        <s v="Sarah Garcia"/>
        <s v="Matthew Hernandez"/>
        <s v="Emily Rodriguez"/>
        <s v="Daniel Davis"/>
        <s v="Jennifer Smith"/>
        <s v="Sarah Johnson"/>
        <s v="Matthew Garcia"/>
        <s v="Daniel Hernandez"/>
        <s v="Michael Martinez"/>
        <s v="Jessica Wilson"/>
        <s v="David Rodriguez"/>
        <s v="Sarah Gonzalez"/>
        <s v="Matthew Smith"/>
        <s v="Emily Johnson"/>
        <s v="Daniel Brown"/>
        <s v="Jennifer Hernandez"/>
        <s v="Michael Davis"/>
        <s v="Jessica Smith"/>
        <s v="David Martinez"/>
      </sharedItems>
    </cacheField>
    <cacheField name="Ship Date" numFmtId="14">
      <sharedItems containsSemiMixedTypes="0" containsNonDate="0" containsDate="1" containsString="0" minDate="2024-01-03T00:00:00" maxDate="2024-02-09T00:00:00" count="34">
        <d v="2024-01-03T00:00:00"/>
        <d v="2024-01-04T00:00:00"/>
        <d v="2024-01-07T00:00:00"/>
        <d v="2024-01-08T00:00:00"/>
        <d v="2024-01-06T00:00:00"/>
        <d v="2024-01-09T00:00:00"/>
        <d v="2024-01-12T00:00:00"/>
        <d v="2024-01-13T00:00:00"/>
        <d v="2024-01-14T00:00:00"/>
        <d v="2024-01-11T00:00:00"/>
        <d v="2024-01-15T00:00:00"/>
        <d v="2024-01-17T00:00:00"/>
        <d v="2024-01-18T00:00:00"/>
        <d v="2024-01-19T00:00:00"/>
        <d v="2024-01-23T00:00:00"/>
        <d v="2024-01-20T00:00:00"/>
        <d v="2024-01-22T00:00:00"/>
        <d v="2024-01-24T00:00:00"/>
        <d v="2024-01-21T00:00:00"/>
        <d v="2024-01-26T00:00:00"/>
        <d v="2024-01-25T00:00:00"/>
        <d v="2024-01-27T00:00:00"/>
        <d v="2024-01-30T00:00:00"/>
        <d v="2024-01-29T00:00:00"/>
        <d v="2024-01-28T00:00:00"/>
        <d v="2024-01-31T00:00:00"/>
        <d v="2024-02-01T00:00:00"/>
        <d v="2024-02-02T00:00:00"/>
        <d v="2024-02-04T00:00:00"/>
        <d v="2024-02-05T00:00:00"/>
        <d v="2024-02-03T00:00:00"/>
        <d v="2024-02-06T00:00:00"/>
        <d v="2024-02-08T00:00:00"/>
        <d v="2024-02-07T00:00:00"/>
      </sharedItems>
      <fieldGroup par="9"/>
    </cacheField>
    <cacheField name="Retail Price (USD)" numFmtId="1">
      <sharedItems containsSemiMixedTypes="0" containsString="0" containsNumber="1" minValue="19.989999999999998" maxValue="199.99"/>
    </cacheField>
    <cacheField name="Order Quantity" numFmtId="0">
      <sharedItems containsSemiMixedTypes="0" containsString="0" containsNumber="1" containsInteger="1" minValue="1" maxValue="5" count="5">
        <n v="2"/>
        <n v="1"/>
        <n v="3"/>
        <n v="4"/>
        <n v="5"/>
      </sharedItems>
    </cacheField>
    <cacheField name="Tax (USD)" numFmtId="1">
      <sharedItems containsSemiMixedTypes="0" containsString="0" containsNumber="1" minValue="2.9990000000000001" maxValue="29.997"/>
    </cacheField>
    <cacheField name="Total (USD)" numFmtId="1">
      <sharedItems containsSemiMixedTypes="0" containsString="0" containsNumber="1" minValue="32.988999999999997" maxValue="329.96699999999998"/>
    </cacheField>
    <cacheField name="Days (Ship Date)" numFmtId="0" databaseField="0">
      <fieldGroup base="3">
        <rangePr groupBy="days" startDate="2024-01-03T00:00:00" endDate="2024-02-09T00:00:00"/>
        <groupItems count="368">
          <s v="&lt;03-01-2024"/>
          <s v="01-Jan"/>
          <s v="02-Jan"/>
          <s v="03-Jan"/>
          <s v="04-Jan"/>
          <s v="05-Jan"/>
          <s v="06-Jan"/>
          <s v="07-Jan"/>
          <s v="08-Jan"/>
          <s v="0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01-Feb"/>
          <s v="02-Feb"/>
          <s v="03-Feb"/>
          <s v="04-Feb"/>
          <s v="05-Feb"/>
          <s v="06-Feb"/>
          <s v="07-Feb"/>
          <s v="08-Feb"/>
          <s v="0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01-Mar"/>
          <s v="02-Mar"/>
          <s v="03-Mar"/>
          <s v="04-Mar"/>
          <s v="05-Mar"/>
          <s v="06-Mar"/>
          <s v="07-Mar"/>
          <s v="08-Mar"/>
          <s v="0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01-Apr"/>
          <s v="02-Apr"/>
          <s v="03-Apr"/>
          <s v="04-Apr"/>
          <s v="05-Apr"/>
          <s v="06-Apr"/>
          <s v="07-Apr"/>
          <s v="08-Apr"/>
          <s v="0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01-May"/>
          <s v="02-May"/>
          <s v="03-May"/>
          <s v="04-May"/>
          <s v="05-May"/>
          <s v="06-May"/>
          <s v="07-May"/>
          <s v="08-May"/>
          <s v="0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01-Jun"/>
          <s v="02-Jun"/>
          <s v="03-Jun"/>
          <s v="04-Jun"/>
          <s v="05-Jun"/>
          <s v="06-Jun"/>
          <s v="07-Jun"/>
          <s v="08-Jun"/>
          <s v="0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01-Jul"/>
          <s v="02-Jul"/>
          <s v="03-Jul"/>
          <s v="04-Jul"/>
          <s v="05-Jul"/>
          <s v="06-Jul"/>
          <s v="07-Jul"/>
          <s v="08-Jul"/>
          <s v="0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01-Aug"/>
          <s v="02-Aug"/>
          <s v="03-Aug"/>
          <s v="04-Aug"/>
          <s v="05-Aug"/>
          <s v="06-Aug"/>
          <s v="07-Aug"/>
          <s v="08-Aug"/>
          <s v="0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01-Sep"/>
          <s v="02-Sep"/>
          <s v="03-Sep"/>
          <s v="04-Sep"/>
          <s v="05-Sep"/>
          <s v="06-Sep"/>
          <s v="07-Sep"/>
          <s v="08-Sep"/>
          <s v="0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01-Oct"/>
          <s v="02-Oct"/>
          <s v="03-Oct"/>
          <s v="04-Oct"/>
          <s v="05-Oct"/>
          <s v="06-Oct"/>
          <s v="07-Oct"/>
          <s v="08-Oct"/>
          <s v="0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01-Nov"/>
          <s v="02-Nov"/>
          <s v="03-Nov"/>
          <s v="04-Nov"/>
          <s v="05-Nov"/>
          <s v="06-Nov"/>
          <s v="07-Nov"/>
          <s v="08-Nov"/>
          <s v="0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01-Dec"/>
          <s v="02-Dec"/>
          <s v="03-Dec"/>
          <s v="04-Dec"/>
          <s v="05-Dec"/>
          <s v="06-Dec"/>
          <s v="07-Dec"/>
          <s v="08-Dec"/>
          <s v="0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09-02-2024"/>
        </groupItems>
      </fieldGroup>
    </cacheField>
    <cacheField name="Months (Ship Date)" numFmtId="0" databaseField="0">
      <fieldGroup base="3">
        <rangePr groupBy="months" startDate="2024-01-03T00:00:00" endDate="2024-02-09T00:00:00"/>
        <groupItems count="14">
          <s v="&lt;03-01-2024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9-02-2024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0">
  <r>
    <n v="1001"/>
    <d v="2024-01-01T00:00:00"/>
    <x v="0"/>
    <x v="0"/>
    <n v="49.99"/>
    <x v="0"/>
    <n v="9.9980000000000011"/>
    <n v="109.97800000000001"/>
  </r>
  <r>
    <n v="1002"/>
    <d v="2024-01-01T00:00:00"/>
    <x v="1"/>
    <x v="1"/>
    <n v="29.99"/>
    <x v="1"/>
    <n v="2.9990000000000001"/>
    <n v="32.988999999999997"/>
  </r>
  <r>
    <n v="1003"/>
    <d v="2024-01-02T00:00:00"/>
    <x v="2"/>
    <x v="2"/>
    <n v="99.99"/>
    <x v="2"/>
    <n v="29.997"/>
    <n v="329.96699999999998"/>
  </r>
  <r>
    <n v="1004"/>
    <d v="2024-01-02T00:00:00"/>
    <x v="3"/>
    <x v="0"/>
    <n v="19.989999999999998"/>
    <x v="3"/>
    <n v="7.9959999999999996"/>
    <n v="87.955999999999989"/>
  </r>
  <r>
    <n v="1005"/>
    <d v="2024-01-03T00:00:00"/>
    <x v="4"/>
    <x v="3"/>
    <n v="149.99"/>
    <x v="1"/>
    <n v="14.999000000000002"/>
    <n v="164.989"/>
  </r>
  <r>
    <n v="1006"/>
    <d v="2024-01-03T00:00:00"/>
    <x v="5"/>
    <x v="4"/>
    <n v="79.989999999999995"/>
    <x v="0"/>
    <n v="15.997999999999999"/>
    <n v="175.97799999999998"/>
  </r>
  <r>
    <n v="1007"/>
    <d v="2024-01-04T00:00:00"/>
    <x v="6"/>
    <x v="4"/>
    <n v="39.99"/>
    <x v="2"/>
    <n v="11.997"/>
    <n v="131.96699999999998"/>
  </r>
  <r>
    <n v="1008"/>
    <d v="2024-01-04T00:00:00"/>
    <x v="7"/>
    <x v="5"/>
    <n v="69.989999999999995"/>
    <x v="0"/>
    <n v="13.997999999999999"/>
    <n v="153.97799999999998"/>
  </r>
  <r>
    <n v="1009"/>
    <d v="2024-01-05T00:00:00"/>
    <x v="8"/>
    <x v="4"/>
    <n v="89.99"/>
    <x v="1"/>
    <n v="8.9990000000000006"/>
    <n v="98.98899999999999"/>
  </r>
  <r>
    <n v="1010"/>
    <d v="2024-01-05T00:00:00"/>
    <x v="9"/>
    <x v="3"/>
    <n v="199.99"/>
    <x v="1"/>
    <n v="19.999000000000002"/>
    <n v="219.989"/>
  </r>
  <r>
    <n v="1011"/>
    <d v="2024-01-06T00:00:00"/>
    <x v="10"/>
    <x v="2"/>
    <n v="29.99"/>
    <x v="4"/>
    <n v="14.994999999999999"/>
    <n v="164.94499999999999"/>
  </r>
  <r>
    <n v="1012"/>
    <d v="2024-01-06T00:00:00"/>
    <x v="11"/>
    <x v="3"/>
    <n v="79.989999999999995"/>
    <x v="0"/>
    <n v="15.997999999999999"/>
    <n v="175.97799999999998"/>
  </r>
  <r>
    <n v="1013"/>
    <d v="2024-01-07T00:00:00"/>
    <x v="12"/>
    <x v="5"/>
    <n v="49.99"/>
    <x v="2"/>
    <n v="14.997"/>
    <n v="164.96699999999998"/>
  </r>
  <r>
    <n v="1014"/>
    <d v="2024-01-07T00:00:00"/>
    <x v="13"/>
    <x v="6"/>
    <n v="129.99"/>
    <x v="1"/>
    <n v="12.999000000000002"/>
    <n v="142.989"/>
  </r>
  <r>
    <n v="1015"/>
    <d v="2024-01-08T00:00:00"/>
    <x v="14"/>
    <x v="7"/>
    <n v="19.989999999999998"/>
    <x v="3"/>
    <n v="7.9959999999999996"/>
    <n v="87.955999999999989"/>
  </r>
  <r>
    <n v="1016"/>
    <d v="2024-01-08T00:00:00"/>
    <x v="15"/>
    <x v="6"/>
    <n v="149.99"/>
    <x v="1"/>
    <n v="14.999000000000002"/>
    <n v="164.989"/>
  </r>
  <r>
    <n v="1017"/>
    <d v="2024-01-09T00:00:00"/>
    <x v="16"/>
    <x v="8"/>
    <n v="69.989999999999995"/>
    <x v="0"/>
    <n v="13.997999999999999"/>
    <n v="153.97799999999998"/>
  </r>
  <r>
    <n v="1018"/>
    <d v="2024-01-09T00:00:00"/>
    <x v="17"/>
    <x v="6"/>
    <n v="39.99"/>
    <x v="2"/>
    <n v="11.997"/>
    <n v="131.96699999999998"/>
  </r>
  <r>
    <n v="1019"/>
    <d v="2024-01-10T00:00:00"/>
    <x v="18"/>
    <x v="9"/>
    <n v="199.99"/>
    <x v="1"/>
    <n v="19.999000000000002"/>
    <n v="219.989"/>
  </r>
  <r>
    <n v="1020"/>
    <d v="2024-01-10T00:00:00"/>
    <x v="19"/>
    <x v="8"/>
    <n v="29.99"/>
    <x v="4"/>
    <n v="14.994999999999999"/>
    <n v="164.94499999999999"/>
  </r>
  <r>
    <n v="1021"/>
    <d v="2024-01-11T00:00:00"/>
    <x v="20"/>
    <x v="8"/>
    <n v="79.989999999999995"/>
    <x v="0"/>
    <n v="15.997999999999999"/>
    <n v="175.97799999999998"/>
  </r>
  <r>
    <n v="1022"/>
    <d v="2024-01-11T00:00:00"/>
    <x v="21"/>
    <x v="10"/>
    <n v="49.99"/>
    <x v="2"/>
    <n v="14.997"/>
    <n v="164.96699999999998"/>
  </r>
  <r>
    <n v="1023"/>
    <d v="2024-01-12T00:00:00"/>
    <x v="22"/>
    <x v="11"/>
    <n v="129.99"/>
    <x v="1"/>
    <n v="12.999000000000002"/>
    <n v="142.989"/>
  </r>
  <r>
    <n v="1024"/>
    <d v="2024-01-12T00:00:00"/>
    <x v="23"/>
    <x v="11"/>
    <n v="19.989999999999998"/>
    <x v="3"/>
    <n v="7.9959999999999996"/>
    <n v="87.955999999999989"/>
  </r>
  <r>
    <n v="1025"/>
    <d v="2024-01-13T00:00:00"/>
    <x v="4"/>
    <x v="11"/>
    <n v="149.99"/>
    <x v="1"/>
    <n v="14.999000000000002"/>
    <n v="164.989"/>
  </r>
  <r>
    <n v="1026"/>
    <d v="2024-01-13T00:00:00"/>
    <x v="24"/>
    <x v="8"/>
    <n v="69.989999999999995"/>
    <x v="0"/>
    <n v="13.997999999999999"/>
    <n v="153.97799999999998"/>
  </r>
  <r>
    <n v="1027"/>
    <d v="2024-01-14T00:00:00"/>
    <x v="25"/>
    <x v="12"/>
    <n v="39.99"/>
    <x v="2"/>
    <n v="11.997"/>
    <n v="131.96699999999998"/>
  </r>
  <r>
    <n v="1028"/>
    <d v="2024-01-14T00:00:00"/>
    <x v="26"/>
    <x v="13"/>
    <n v="199.99"/>
    <x v="1"/>
    <n v="19.999000000000002"/>
    <n v="219.989"/>
  </r>
  <r>
    <n v="1029"/>
    <d v="2024-01-15T00:00:00"/>
    <x v="27"/>
    <x v="13"/>
    <n v="29.99"/>
    <x v="4"/>
    <n v="14.994999999999999"/>
    <n v="164.94499999999999"/>
  </r>
  <r>
    <n v="1030"/>
    <d v="2024-01-15T00:00:00"/>
    <x v="28"/>
    <x v="13"/>
    <n v="79.989999999999995"/>
    <x v="0"/>
    <n v="15.997999999999999"/>
    <n v="175.97799999999998"/>
  </r>
  <r>
    <n v="1031"/>
    <d v="2024-01-16T00:00:00"/>
    <x v="29"/>
    <x v="13"/>
    <n v="49.99"/>
    <x v="2"/>
    <n v="14.997"/>
    <n v="164.96699999999998"/>
  </r>
  <r>
    <n v="1032"/>
    <d v="2024-01-16T00:00:00"/>
    <x v="30"/>
    <x v="11"/>
    <n v="129.99"/>
    <x v="1"/>
    <n v="12.999000000000002"/>
    <n v="142.989"/>
  </r>
  <r>
    <n v="1033"/>
    <d v="2024-01-17T00:00:00"/>
    <x v="31"/>
    <x v="13"/>
    <n v="19.989999999999998"/>
    <x v="3"/>
    <n v="7.9959999999999996"/>
    <n v="87.955999999999989"/>
  </r>
  <r>
    <n v="1034"/>
    <d v="2024-01-17T00:00:00"/>
    <x v="32"/>
    <x v="13"/>
    <n v="149.99"/>
    <x v="1"/>
    <n v="14.999000000000002"/>
    <n v="164.989"/>
  </r>
  <r>
    <n v="1035"/>
    <d v="2024-01-18T00:00:00"/>
    <x v="33"/>
    <x v="14"/>
    <n v="69.989999999999995"/>
    <x v="0"/>
    <n v="13.997999999999999"/>
    <n v="153.97799999999998"/>
  </r>
  <r>
    <n v="1036"/>
    <d v="2024-01-18T00:00:00"/>
    <x v="34"/>
    <x v="13"/>
    <n v="39.99"/>
    <x v="2"/>
    <n v="11.997"/>
    <n v="131.96699999999998"/>
  </r>
  <r>
    <n v="1037"/>
    <d v="2024-01-19T00:00:00"/>
    <x v="35"/>
    <x v="15"/>
    <n v="199.99"/>
    <x v="1"/>
    <n v="19.999000000000002"/>
    <n v="219.989"/>
  </r>
  <r>
    <n v="1038"/>
    <d v="2024-01-19T00:00:00"/>
    <x v="36"/>
    <x v="16"/>
    <n v="29.99"/>
    <x v="4"/>
    <n v="14.994999999999999"/>
    <n v="164.94499999999999"/>
  </r>
  <r>
    <n v="1039"/>
    <d v="2024-01-20T00:00:00"/>
    <x v="2"/>
    <x v="17"/>
    <n v="79.989999999999995"/>
    <x v="0"/>
    <n v="15.997999999999999"/>
    <n v="175.97799999999998"/>
  </r>
  <r>
    <n v="1040"/>
    <d v="2024-01-20T00:00:00"/>
    <x v="23"/>
    <x v="18"/>
    <n v="49.99"/>
    <x v="2"/>
    <n v="14.997"/>
    <n v="164.96699999999998"/>
  </r>
  <r>
    <n v="1041"/>
    <d v="2024-01-21T00:00:00"/>
    <x v="4"/>
    <x v="19"/>
    <n v="129.99"/>
    <x v="1"/>
    <n v="12.999000000000002"/>
    <n v="142.989"/>
  </r>
  <r>
    <n v="1042"/>
    <d v="2024-01-21T00:00:00"/>
    <x v="37"/>
    <x v="14"/>
    <n v="19.989999999999998"/>
    <x v="3"/>
    <n v="7.9959999999999996"/>
    <n v="87.955999999999989"/>
  </r>
  <r>
    <n v="1043"/>
    <d v="2024-01-22T00:00:00"/>
    <x v="38"/>
    <x v="20"/>
    <n v="149.99"/>
    <x v="1"/>
    <n v="14.999000000000002"/>
    <n v="164.989"/>
  </r>
  <r>
    <n v="1044"/>
    <d v="2024-01-22T00:00:00"/>
    <x v="3"/>
    <x v="20"/>
    <n v="69.989999999999995"/>
    <x v="0"/>
    <n v="13.997999999999999"/>
    <n v="153.97799999999998"/>
  </r>
  <r>
    <n v="1045"/>
    <d v="2024-01-23T00:00:00"/>
    <x v="39"/>
    <x v="21"/>
    <n v="39.99"/>
    <x v="2"/>
    <n v="11.997"/>
    <n v="131.96699999999998"/>
  </r>
  <r>
    <n v="1046"/>
    <d v="2024-01-23T00:00:00"/>
    <x v="19"/>
    <x v="19"/>
    <n v="199.99"/>
    <x v="1"/>
    <n v="19.999000000000002"/>
    <n v="219.989"/>
  </r>
  <r>
    <n v="1047"/>
    <d v="2024-01-24T00:00:00"/>
    <x v="40"/>
    <x v="20"/>
    <n v="29.99"/>
    <x v="4"/>
    <n v="14.994999999999999"/>
    <n v="164.94499999999999"/>
  </r>
  <r>
    <n v="1048"/>
    <d v="2024-01-24T00:00:00"/>
    <x v="41"/>
    <x v="19"/>
    <n v="79.989999999999995"/>
    <x v="0"/>
    <n v="15.997999999999999"/>
    <n v="175.97799999999998"/>
  </r>
  <r>
    <n v="1049"/>
    <d v="2024-01-25T00:00:00"/>
    <x v="42"/>
    <x v="22"/>
    <n v="49.99"/>
    <x v="2"/>
    <n v="14.997"/>
    <n v="164.96699999999998"/>
  </r>
  <r>
    <n v="1050"/>
    <d v="2024-01-25T00:00:00"/>
    <x v="43"/>
    <x v="21"/>
    <n v="129.99"/>
    <x v="1"/>
    <n v="12.999000000000002"/>
    <n v="142.989"/>
  </r>
  <r>
    <n v="1051"/>
    <d v="2024-01-26T00:00:00"/>
    <x v="44"/>
    <x v="23"/>
    <n v="19.989999999999998"/>
    <x v="3"/>
    <n v="7.9959999999999996"/>
    <n v="87.955999999999989"/>
  </r>
  <r>
    <n v="1052"/>
    <d v="2024-01-26T00:00:00"/>
    <x v="45"/>
    <x v="24"/>
    <n v="149.99"/>
    <x v="1"/>
    <n v="14.999000000000002"/>
    <n v="164.989"/>
  </r>
  <r>
    <n v="1053"/>
    <d v="2024-01-27T00:00:00"/>
    <x v="46"/>
    <x v="25"/>
    <n v="69.989999999999995"/>
    <x v="0"/>
    <n v="13.997999999999999"/>
    <n v="153.97799999999998"/>
  </r>
  <r>
    <n v="1054"/>
    <d v="2024-01-27T00:00:00"/>
    <x v="47"/>
    <x v="25"/>
    <n v="39.99"/>
    <x v="2"/>
    <n v="11.997"/>
    <n v="131.96699999999998"/>
  </r>
  <r>
    <n v="1055"/>
    <d v="2024-01-28T00:00:00"/>
    <x v="48"/>
    <x v="23"/>
    <n v="199.99"/>
    <x v="1"/>
    <n v="19.999000000000002"/>
    <n v="219.989"/>
  </r>
  <r>
    <n v="1056"/>
    <d v="2024-01-28T00:00:00"/>
    <x v="49"/>
    <x v="23"/>
    <n v="29.99"/>
    <x v="4"/>
    <n v="14.994999999999999"/>
    <n v="164.94499999999999"/>
  </r>
  <r>
    <n v="1057"/>
    <d v="2024-01-29T00:00:00"/>
    <x v="50"/>
    <x v="22"/>
    <n v="79.989999999999995"/>
    <x v="0"/>
    <n v="15.997999999999999"/>
    <n v="175.97799999999998"/>
  </r>
  <r>
    <n v="1058"/>
    <d v="2024-01-29T00:00:00"/>
    <x v="37"/>
    <x v="25"/>
    <n v="49.99"/>
    <x v="2"/>
    <n v="14.997"/>
    <n v="164.96699999999998"/>
  </r>
  <r>
    <n v="1059"/>
    <d v="2024-01-30T00:00:00"/>
    <x v="38"/>
    <x v="25"/>
    <n v="129.99"/>
    <x v="1"/>
    <n v="12.999000000000002"/>
    <n v="142.989"/>
  </r>
  <r>
    <n v="1060"/>
    <d v="2024-01-30T00:00:00"/>
    <x v="3"/>
    <x v="26"/>
    <n v="19.989999999999998"/>
    <x v="3"/>
    <n v="7.9959999999999996"/>
    <n v="87.955999999999989"/>
  </r>
  <r>
    <n v="1061"/>
    <d v="2024-01-31T00:00:00"/>
    <x v="39"/>
    <x v="27"/>
    <n v="149.99"/>
    <x v="1"/>
    <n v="14.999000000000002"/>
    <n v="164.989"/>
  </r>
  <r>
    <n v="1062"/>
    <d v="2024-01-31T00:00:00"/>
    <x v="19"/>
    <x v="28"/>
    <n v="69.989999999999995"/>
    <x v="0"/>
    <n v="13.997999999999999"/>
    <n v="153.97799999999998"/>
  </r>
  <r>
    <n v="1063"/>
    <d v="2024-02-01T00:00:00"/>
    <x v="40"/>
    <x v="27"/>
    <n v="39.99"/>
    <x v="2"/>
    <n v="11.997"/>
    <n v="131.96699999999998"/>
  </r>
  <r>
    <n v="1064"/>
    <d v="2024-02-01T00:00:00"/>
    <x v="41"/>
    <x v="29"/>
    <n v="199.99"/>
    <x v="1"/>
    <n v="19.999000000000002"/>
    <n v="219.989"/>
  </r>
  <r>
    <n v="1065"/>
    <d v="2024-02-01T00:00:00"/>
    <x v="42"/>
    <x v="30"/>
    <n v="29.99"/>
    <x v="4"/>
    <n v="14.994999999999999"/>
    <n v="164.94499999999999"/>
  </r>
  <r>
    <n v="1066"/>
    <d v="2024-02-02T00:00:00"/>
    <x v="43"/>
    <x v="31"/>
    <n v="79.989999999999995"/>
    <x v="0"/>
    <n v="15.997999999999999"/>
    <n v="175.97799999999998"/>
  </r>
  <r>
    <n v="1067"/>
    <d v="2024-02-03T00:00:00"/>
    <x v="44"/>
    <x v="31"/>
    <n v="49.99"/>
    <x v="2"/>
    <n v="14.997"/>
    <n v="164.96699999999998"/>
  </r>
  <r>
    <n v="1068"/>
    <d v="2024-02-04T00:00:00"/>
    <x v="45"/>
    <x v="29"/>
    <n v="129.99"/>
    <x v="1"/>
    <n v="12.999000000000002"/>
    <n v="142.989"/>
  </r>
  <r>
    <n v="1069"/>
    <d v="2024-02-04T00:00:00"/>
    <x v="46"/>
    <x v="32"/>
    <n v="19.989999999999998"/>
    <x v="3"/>
    <n v="7.9959999999999996"/>
    <n v="87.955999999999989"/>
  </r>
  <r>
    <n v="1070"/>
    <d v="2024-02-04T00:00:00"/>
    <x v="47"/>
    <x v="33"/>
    <n v="149.99"/>
    <x v="1"/>
    <n v="14.999000000000002"/>
    <n v="164.98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FB3D1B7-7AFC-42C6-97D8-8AA791718B29}" name="PivotTable1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R11:U66" firstHeaderRow="1" firstDataRow="4" firstDataCol="1"/>
  <pivotFields count="10">
    <pivotField showAll="0"/>
    <pivotField numFmtId="14" showAll="0"/>
    <pivotField axis="axisRow" showAll="0">
      <items count="52">
        <item x="15"/>
        <item x="21"/>
        <item x="22"/>
        <item x="8"/>
        <item x="46"/>
        <item x="35"/>
        <item x="39"/>
        <item x="6"/>
        <item x="18"/>
        <item x="27"/>
        <item x="31"/>
        <item x="50"/>
        <item x="42"/>
        <item x="4"/>
        <item x="3"/>
        <item x="26"/>
        <item x="45"/>
        <item x="34"/>
        <item x="16"/>
        <item x="1"/>
        <item x="19"/>
        <item x="47"/>
        <item x="28"/>
        <item x="36"/>
        <item x="13"/>
        <item x="30"/>
        <item x="23"/>
        <item x="49"/>
        <item x="41"/>
        <item x="0"/>
        <item x="9"/>
        <item x="17"/>
        <item x="5"/>
        <item x="38"/>
        <item x="33"/>
        <item x="25"/>
        <item x="44"/>
        <item x="14"/>
        <item x="11"/>
        <item x="48"/>
        <item x="20"/>
        <item x="2"/>
        <item x="40"/>
        <item x="29"/>
        <item x="12"/>
        <item x="7"/>
        <item x="32"/>
        <item x="43"/>
        <item x="37"/>
        <item x="24"/>
        <item x="10"/>
        <item t="default"/>
      </items>
    </pivotField>
    <pivotField axis="axisCol" numFmtId="14" showAll="0">
      <items count="35">
        <item x="0"/>
        <item x="1"/>
        <item x="4"/>
        <item x="2"/>
        <item x="3"/>
        <item x="5"/>
        <item x="9"/>
        <item x="6"/>
        <item x="7"/>
        <item x="8"/>
        <item x="10"/>
        <item x="11"/>
        <item x="12"/>
        <item x="13"/>
        <item x="15"/>
        <item x="18"/>
        <item x="16"/>
        <item x="14"/>
        <item x="17"/>
        <item x="20"/>
        <item x="19"/>
        <item x="21"/>
        <item x="24"/>
        <item x="23"/>
        <item x="22"/>
        <item x="25"/>
        <item x="26"/>
        <item x="27"/>
        <item x="30"/>
        <item x="28"/>
        <item x="29"/>
        <item x="31"/>
        <item x="33"/>
        <item x="32"/>
        <item t="default"/>
      </items>
    </pivotField>
    <pivotField numFmtId="1" showAll="0"/>
    <pivotField showAll="0">
      <items count="6">
        <item x="1"/>
        <item x="0"/>
        <item x="2"/>
        <item x="3"/>
        <item x="4"/>
        <item t="default"/>
      </items>
    </pivotField>
    <pivotField dataField="1" numFmtId="1" showAll="0"/>
    <pivotField numFmtId="1" showAll="0"/>
    <pivotField axis="axisCol"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axis="axisCol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2"/>
  </rowFields>
  <rowItems count="5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 t="grand">
      <x/>
    </i>
  </rowItems>
  <colFields count="3">
    <field x="9"/>
    <field x="8"/>
    <field x="3"/>
  </colFields>
  <colItems count="3">
    <i>
      <x v="1"/>
    </i>
    <i>
      <x v="2"/>
    </i>
    <i t="grand">
      <x/>
    </i>
  </colItems>
  <dataFields count="1">
    <dataField name="Sum of Tax (USD)" fld="6" baseField="0" baseItem="0" numFmtId="1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04B641-85A2-41D5-8251-12E6997024AE}">
  <dimension ref="B2:P80"/>
  <sheetViews>
    <sheetView showGridLines="0" topLeftCell="B7" workbookViewId="0">
      <selection activeCell="Q31" sqref="Q31"/>
    </sheetView>
  </sheetViews>
  <sheetFormatPr defaultColWidth="8.85546875" defaultRowHeight="15" x14ac:dyDescent="0.25"/>
  <cols>
    <col min="1" max="1" width="4.42578125" style="2" customWidth="1"/>
    <col min="2" max="2" width="14.28515625" style="2" customWidth="1"/>
    <col min="3" max="3" width="17.7109375" style="2" customWidth="1"/>
    <col min="4" max="4" width="19.42578125" style="2" customWidth="1"/>
    <col min="5" max="5" width="13.5703125" style="2" customWidth="1"/>
    <col min="6" max="6" width="19.5703125" style="2" customWidth="1"/>
    <col min="7" max="7" width="17.28515625" style="2" customWidth="1"/>
    <col min="8" max="8" width="11" style="2" customWidth="1"/>
    <col min="9" max="9" width="13.28515625" style="2" customWidth="1"/>
    <col min="10" max="16384" width="8.85546875" style="2"/>
  </cols>
  <sheetData>
    <row r="2" spans="2:12" ht="19.5" thickBot="1" x14ac:dyDescent="0.3">
      <c r="B2" s="1" t="s">
        <v>0</v>
      </c>
      <c r="C2" s="1"/>
      <c r="D2" s="1"/>
      <c r="E2" s="1"/>
      <c r="F2" s="1"/>
      <c r="G2" s="1"/>
      <c r="H2" s="1"/>
      <c r="I2" s="1"/>
    </row>
    <row r="4" spans="2:12" ht="19.5" thickBot="1" x14ac:dyDescent="0.3">
      <c r="B4" s="3" t="s">
        <v>1</v>
      </c>
      <c r="C4" s="1"/>
      <c r="D4" s="1"/>
      <c r="E4" s="1"/>
      <c r="F4" s="1"/>
      <c r="G4" s="1"/>
      <c r="H4" s="1"/>
      <c r="I4" s="1"/>
    </row>
    <row r="6" spans="2:12" ht="15.75" x14ac:dyDescent="0.25">
      <c r="H6" s="4" t="s">
        <v>2</v>
      </c>
      <c r="I6" s="5">
        <v>0.1</v>
      </c>
    </row>
    <row r="8" spans="2:12" ht="15.75" x14ac:dyDescent="0.25">
      <c r="B8" s="4" t="s">
        <v>3</v>
      </c>
      <c r="C8" s="4" t="s">
        <v>4</v>
      </c>
      <c r="D8" s="4" t="s">
        <v>5</v>
      </c>
      <c r="E8" s="4" t="s">
        <v>6</v>
      </c>
      <c r="F8" s="4" t="s">
        <v>7</v>
      </c>
      <c r="G8" s="4" t="s">
        <v>8</v>
      </c>
      <c r="H8" s="4" t="s">
        <v>9</v>
      </c>
      <c r="I8" s="6" t="s">
        <v>10</v>
      </c>
    </row>
    <row r="9" spans="2:12" x14ac:dyDescent="0.25">
      <c r="B9" s="7">
        <v>1003</v>
      </c>
      <c r="C9" s="8">
        <v>45293</v>
      </c>
      <c r="D9" s="7" t="s">
        <v>13</v>
      </c>
      <c r="E9" s="8">
        <v>45298</v>
      </c>
      <c r="F9" s="10">
        <v>99.99</v>
      </c>
      <c r="G9" s="7">
        <v>3</v>
      </c>
      <c r="H9" s="7">
        <f t="shared" ref="H9:H40" si="0">F9*G9*$I$6</f>
        <v>29.997</v>
      </c>
      <c r="I9" s="10">
        <f t="shared" ref="I9:I40" si="1">F9*G9+H9</f>
        <v>329.96699999999998</v>
      </c>
    </row>
    <row r="10" spans="2:12" x14ac:dyDescent="0.25">
      <c r="B10" s="7">
        <v>1010</v>
      </c>
      <c r="C10" s="8">
        <v>45296</v>
      </c>
      <c r="D10" s="7" t="s">
        <v>20</v>
      </c>
      <c r="E10" s="8">
        <v>45299</v>
      </c>
      <c r="F10" s="10">
        <v>199.99</v>
      </c>
      <c r="G10" s="7">
        <v>1</v>
      </c>
      <c r="H10" s="7">
        <f t="shared" si="0"/>
        <v>19.999000000000002</v>
      </c>
      <c r="I10" s="10">
        <f t="shared" si="1"/>
        <v>219.989</v>
      </c>
    </row>
    <row r="11" spans="2:12" x14ac:dyDescent="0.25">
      <c r="B11" s="7">
        <v>1019</v>
      </c>
      <c r="C11" s="8">
        <v>45301</v>
      </c>
      <c r="D11" s="7" t="s">
        <v>29</v>
      </c>
      <c r="E11" s="8">
        <v>45302</v>
      </c>
      <c r="F11" s="10">
        <v>199.99</v>
      </c>
      <c r="G11" s="7">
        <v>1</v>
      </c>
      <c r="H11" s="7">
        <f t="shared" si="0"/>
        <v>19.999000000000002</v>
      </c>
      <c r="I11" s="10">
        <f t="shared" si="1"/>
        <v>219.989</v>
      </c>
    </row>
    <row r="12" spans="2:12" x14ac:dyDescent="0.25">
      <c r="B12" s="7">
        <v>1028</v>
      </c>
      <c r="C12" s="8">
        <v>45305</v>
      </c>
      <c r="D12" s="7" t="s">
        <v>37</v>
      </c>
      <c r="E12" s="8">
        <v>45310</v>
      </c>
      <c r="F12" s="10">
        <v>199.99</v>
      </c>
      <c r="G12" s="7">
        <v>1</v>
      </c>
      <c r="H12" s="7">
        <f t="shared" si="0"/>
        <v>19.999000000000002</v>
      </c>
      <c r="I12" s="10">
        <f t="shared" si="1"/>
        <v>219.989</v>
      </c>
    </row>
    <row r="13" spans="2:12" x14ac:dyDescent="0.25">
      <c r="B13" s="7">
        <v>1037</v>
      </c>
      <c r="C13" s="8">
        <v>45310</v>
      </c>
      <c r="D13" s="7" t="s">
        <v>46</v>
      </c>
      <c r="E13" s="8">
        <v>45311</v>
      </c>
      <c r="F13" s="10">
        <v>199.99</v>
      </c>
      <c r="G13" s="7">
        <v>1</v>
      </c>
      <c r="H13" s="7">
        <f t="shared" si="0"/>
        <v>19.999000000000002</v>
      </c>
      <c r="I13" s="10">
        <f t="shared" si="1"/>
        <v>219.989</v>
      </c>
    </row>
    <row r="14" spans="2:12" x14ac:dyDescent="0.25">
      <c r="B14" s="7">
        <v>1046</v>
      </c>
      <c r="C14" s="8">
        <v>45314</v>
      </c>
      <c r="D14" s="7" t="s">
        <v>30</v>
      </c>
      <c r="E14" s="8">
        <v>45317</v>
      </c>
      <c r="F14" s="10">
        <v>199.99</v>
      </c>
      <c r="G14" s="7">
        <v>1</v>
      </c>
      <c r="H14" s="7">
        <f t="shared" si="0"/>
        <v>19.999000000000002</v>
      </c>
      <c r="I14" s="10">
        <f t="shared" si="1"/>
        <v>219.989</v>
      </c>
    </row>
    <row r="15" spans="2:12" x14ac:dyDescent="0.25">
      <c r="B15" s="7">
        <v>1055</v>
      </c>
      <c r="C15" s="8">
        <v>45319</v>
      </c>
      <c r="D15" s="7" t="s">
        <v>59</v>
      </c>
      <c r="E15" s="8">
        <v>45320</v>
      </c>
      <c r="F15" s="10">
        <v>199.99</v>
      </c>
      <c r="G15" s="7">
        <v>1</v>
      </c>
      <c r="H15" s="7">
        <f t="shared" si="0"/>
        <v>19.999000000000002</v>
      </c>
      <c r="I15" s="10">
        <f t="shared" si="1"/>
        <v>219.989</v>
      </c>
      <c r="L15" t="s">
        <v>62</v>
      </c>
    </row>
    <row r="16" spans="2:12" x14ac:dyDescent="0.25">
      <c r="B16" s="7">
        <v>1064</v>
      </c>
      <c r="C16" s="8">
        <v>45323</v>
      </c>
      <c r="D16" s="7" t="s">
        <v>52</v>
      </c>
      <c r="E16" s="8">
        <v>45327</v>
      </c>
      <c r="F16" s="10">
        <v>199.99</v>
      </c>
      <c r="G16" s="7">
        <v>1</v>
      </c>
      <c r="H16" s="7">
        <f t="shared" si="0"/>
        <v>19.999000000000002</v>
      </c>
      <c r="I16" s="10">
        <f t="shared" si="1"/>
        <v>219.989</v>
      </c>
      <c r="L16" t="s">
        <v>63</v>
      </c>
    </row>
    <row r="17" spans="2:16" x14ac:dyDescent="0.25">
      <c r="B17" s="7">
        <v>1006</v>
      </c>
      <c r="C17" s="8">
        <v>45294</v>
      </c>
      <c r="D17" s="7" t="s">
        <v>16</v>
      </c>
      <c r="E17" s="8">
        <v>45297</v>
      </c>
      <c r="F17" s="10">
        <v>79.989999999999995</v>
      </c>
      <c r="G17" s="7">
        <v>2</v>
      </c>
      <c r="H17" s="7">
        <f t="shared" si="0"/>
        <v>15.997999999999999</v>
      </c>
      <c r="I17" s="10">
        <f t="shared" si="1"/>
        <v>175.97799999999998</v>
      </c>
      <c r="L17" t="s">
        <v>64</v>
      </c>
    </row>
    <row r="18" spans="2:16" x14ac:dyDescent="0.25">
      <c r="B18" s="7">
        <v>1012</v>
      </c>
      <c r="C18" s="8">
        <v>45297</v>
      </c>
      <c r="D18" s="7" t="s">
        <v>22</v>
      </c>
      <c r="E18" s="8">
        <v>45299</v>
      </c>
      <c r="F18" s="10">
        <v>79.989999999999995</v>
      </c>
      <c r="G18" s="7">
        <v>2</v>
      </c>
      <c r="H18" s="7">
        <f t="shared" si="0"/>
        <v>15.997999999999999</v>
      </c>
      <c r="I18" s="10">
        <f t="shared" si="1"/>
        <v>175.97799999999998</v>
      </c>
      <c r="L18" t="s">
        <v>65</v>
      </c>
    </row>
    <row r="19" spans="2:16" x14ac:dyDescent="0.25">
      <c r="B19" s="7">
        <v>1021</v>
      </c>
      <c r="C19" s="8">
        <v>45302</v>
      </c>
      <c r="D19" s="7" t="s">
        <v>31</v>
      </c>
      <c r="E19" s="8">
        <v>45305</v>
      </c>
      <c r="F19" s="10">
        <v>79.989999999999995</v>
      </c>
      <c r="G19" s="7">
        <v>2</v>
      </c>
      <c r="H19" s="7">
        <f t="shared" si="0"/>
        <v>15.997999999999999</v>
      </c>
      <c r="I19" s="10">
        <f t="shared" si="1"/>
        <v>175.97799999999998</v>
      </c>
      <c r="L19" t="s">
        <v>66</v>
      </c>
    </row>
    <row r="20" spans="2:16" x14ac:dyDescent="0.25">
      <c r="B20" s="7">
        <v>1030</v>
      </c>
      <c r="C20" s="8">
        <v>45306</v>
      </c>
      <c r="D20" s="7" t="s">
        <v>39</v>
      </c>
      <c r="E20" s="8">
        <v>45310</v>
      </c>
      <c r="F20" s="10">
        <v>79.989999999999995</v>
      </c>
      <c r="G20" s="7">
        <v>2</v>
      </c>
      <c r="H20" s="7">
        <f t="shared" si="0"/>
        <v>15.997999999999999</v>
      </c>
      <c r="I20" s="10">
        <f t="shared" si="1"/>
        <v>175.97799999999998</v>
      </c>
      <c r="L20" t="s">
        <v>67</v>
      </c>
    </row>
    <row r="21" spans="2:16" x14ac:dyDescent="0.25">
      <c r="B21" s="7">
        <v>1039</v>
      </c>
      <c r="C21" s="8">
        <v>45311</v>
      </c>
      <c r="D21" s="7" t="s">
        <v>13</v>
      </c>
      <c r="E21" s="8">
        <v>45315</v>
      </c>
      <c r="F21" s="10">
        <v>79.989999999999995</v>
      </c>
      <c r="G21" s="7">
        <v>2</v>
      </c>
      <c r="H21" s="7">
        <f t="shared" si="0"/>
        <v>15.997999999999999</v>
      </c>
      <c r="I21" s="10">
        <f t="shared" si="1"/>
        <v>175.97799999999998</v>
      </c>
      <c r="L21" t="s">
        <v>68</v>
      </c>
    </row>
    <row r="22" spans="2:16" x14ac:dyDescent="0.25">
      <c r="B22" s="7">
        <v>1048</v>
      </c>
      <c r="C22" s="8">
        <v>45315</v>
      </c>
      <c r="D22" s="7" t="s">
        <v>52</v>
      </c>
      <c r="E22" s="8">
        <v>45317</v>
      </c>
      <c r="F22" s="10">
        <v>79.989999999999995</v>
      </c>
      <c r="G22" s="7">
        <v>2</v>
      </c>
      <c r="H22" s="7">
        <f t="shared" si="0"/>
        <v>15.997999999999999</v>
      </c>
      <c r="I22" s="10">
        <f t="shared" si="1"/>
        <v>175.97799999999998</v>
      </c>
      <c r="L22" t="s">
        <v>69</v>
      </c>
    </row>
    <row r="23" spans="2:16" x14ac:dyDescent="0.25">
      <c r="B23" s="7">
        <v>1057</v>
      </c>
      <c r="C23" s="8">
        <v>45320</v>
      </c>
      <c r="D23" s="7" t="s">
        <v>61</v>
      </c>
      <c r="E23" s="8">
        <v>45321</v>
      </c>
      <c r="F23" s="10">
        <v>79.989999999999995</v>
      </c>
      <c r="G23" s="7">
        <v>2</v>
      </c>
      <c r="H23" s="7">
        <f t="shared" si="0"/>
        <v>15.997999999999999</v>
      </c>
      <c r="I23" s="10">
        <f t="shared" si="1"/>
        <v>175.97799999999998</v>
      </c>
      <c r="L23" t="s">
        <v>70</v>
      </c>
    </row>
    <row r="24" spans="2:16" x14ac:dyDescent="0.25">
      <c r="B24" s="7">
        <v>1066</v>
      </c>
      <c r="C24" s="8">
        <v>45324</v>
      </c>
      <c r="D24" s="7" t="s">
        <v>54</v>
      </c>
      <c r="E24" s="8">
        <v>45328</v>
      </c>
      <c r="F24" s="10">
        <v>79.989999999999995</v>
      </c>
      <c r="G24" s="7">
        <v>2</v>
      </c>
      <c r="H24" s="7">
        <f t="shared" si="0"/>
        <v>15.997999999999999</v>
      </c>
      <c r="I24" s="10">
        <f t="shared" si="1"/>
        <v>175.97799999999998</v>
      </c>
      <c r="L24" t="s">
        <v>71</v>
      </c>
    </row>
    <row r="25" spans="2:16" x14ac:dyDescent="0.25">
      <c r="B25" s="7">
        <v>1005</v>
      </c>
      <c r="C25" s="8">
        <v>45294</v>
      </c>
      <c r="D25" s="7" t="s">
        <v>15</v>
      </c>
      <c r="E25" s="8">
        <v>45299</v>
      </c>
      <c r="F25" s="10">
        <v>149.99</v>
      </c>
      <c r="G25" s="7">
        <v>1</v>
      </c>
      <c r="H25" s="7">
        <f t="shared" si="0"/>
        <v>14.999000000000002</v>
      </c>
      <c r="I25" s="10">
        <f t="shared" si="1"/>
        <v>164.989</v>
      </c>
    </row>
    <row r="26" spans="2:16" x14ac:dyDescent="0.25">
      <c r="B26" s="7">
        <v>1016</v>
      </c>
      <c r="C26" s="8">
        <v>45299</v>
      </c>
      <c r="D26" s="7" t="s">
        <v>26</v>
      </c>
      <c r="E26" s="8">
        <v>45303</v>
      </c>
      <c r="F26" s="10">
        <v>149.99</v>
      </c>
      <c r="G26" s="7">
        <v>1</v>
      </c>
      <c r="H26" s="7">
        <f t="shared" si="0"/>
        <v>14.999000000000002</v>
      </c>
      <c r="I26" s="10">
        <f t="shared" si="1"/>
        <v>164.989</v>
      </c>
    </row>
    <row r="27" spans="2:16" x14ac:dyDescent="0.25">
      <c r="B27" s="7">
        <v>1025</v>
      </c>
      <c r="C27" s="8">
        <v>45304</v>
      </c>
      <c r="D27" s="7" t="s">
        <v>15</v>
      </c>
      <c r="E27" s="8">
        <v>45308</v>
      </c>
      <c r="F27" s="10">
        <v>149.99</v>
      </c>
      <c r="G27" s="7">
        <v>1</v>
      </c>
      <c r="H27" s="7">
        <f t="shared" si="0"/>
        <v>14.999000000000002</v>
      </c>
      <c r="I27" s="10">
        <f t="shared" si="1"/>
        <v>164.989</v>
      </c>
      <c r="L27" s="2">
        <f>AVERAGE(I9:I78)</f>
        <v>155.07359999999994</v>
      </c>
    </row>
    <row r="28" spans="2:16" x14ac:dyDescent="0.25">
      <c r="B28" s="7">
        <v>1034</v>
      </c>
      <c r="C28" s="8">
        <v>45308</v>
      </c>
      <c r="D28" s="7" t="s">
        <v>43</v>
      </c>
      <c r="E28" s="8">
        <v>45310</v>
      </c>
      <c r="F28" s="10">
        <v>149.99</v>
      </c>
      <c r="G28" s="7">
        <v>1</v>
      </c>
      <c r="H28" s="7">
        <f t="shared" si="0"/>
        <v>14.999000000000002</v>
      </c>
      <c r="I28" s="10">
        <f t="shared" si="1"/>
        <v>164.989</v>
      </c>
    </row>
    <row r="29" spans="2:16" x14ac:dyDescent="0.25">
      <c r="B29" s="7">
        <v>1043</v>
      </c>
      <c r="C29" s="8">
        <v>45313</v>
      </c>
      <c r="D29" s="7" t="s">
        <v>49</v>
      </c>
      <c r="E29" s="8">
        <v>45316</v>
      </c>
      <c r="F29" s="10">
        <v>149.99</v>
      </c>
      <c r="G29" s="7">
        <v>1</v>
      </c>
      <c r="H29" s="7">
        <f t="shared" si="0"/>
        <v>14.999000000000002</v>
      </c>
      <c r="I29" s="10">
        <f t="shared" si="1"/>
        <v>164.989</v>
      </c>
    </row>
    <row r="30" spans="2:16" x14ac:dyDescent="0.25">
      <c r="B30" s="7">
        <v>1052</v>
      </c>
      <c r="C30" s="8">
        <v>45317</v>
      </c>
      <c r="D30" s="7" t="s">
        <v>56</v>
      </c>
      <c r="E30" s="8">
        <v>45319</v>
      </c>
      <c r="F30" s="10">
        <v>149.99</v>
      </c>
      <c r="G30" s="7">
        <v>1</v>
      </c>
      <c r="H30" s="7">
        <f t="shared" si="0"/>
        <v>14.999000000000002</v>
      </c>
      <c r="I30" s="10">
        <f t="shared" si="1"/>
        <v>164.989</v>
      </c>
      <c r="L30" s="2" t="s">
        <v>72</v>
      </c>
    </row>
    <row r="31" spans="2:16" x14ac:dyDescent="0.25">
      <c r="B31" s="7">
        <v>1061</v>
      </c>
      <c r="C31" s="8">
        <v>45322</v>
      </c>
      <c r="D31" s="7" t="s">
        <v>50</v>
      </c>
      <c r="E31" s="8">
        <v>45324</v>
      </c>
      <c r="F31" s="10">
        <v>149.99</v>
      </c>
      <c r="G31" s="7">
        <v>1</v>
      </c>
      <c r="H31" s="7">
        <f t="shared" si="0"/>
        <v>14.999000000000002</v>
      </c>
      <c r="I31" s="10">
        <f t="shared" si="1"/>
        <v>164.989</v>
      </c>
      <c r="L31" s="2" t="s">
        <v>73</v>
      </c>
      <c r="M31" s="11"/>
      <c r="N31" s="2" t="s">
        <v>73</v>
      </c>
      <c r="O31" s="2" t="s">
        <v>94</v>
      </c>
      <c r="P31" s="2">
        <v>0</v>
      </c>
    </row>
    <row r="32" spans="2:16" x14ac:dyDescent="0.25">
      <c r="B32" s="7">
        <v>1070</v>
      </c>
      <c r="C32" s="8">
        <v>45326</v>
      </c>
      <c r="D32" s="7" t="s">
        <v>58</v>
      </c>
      <c r="E32" s="8">
        <v>45329</v>
      </c>
      <c r="F32" s="10">
        <v>149.99</v>
      </c>
      <c r="G32" s="7">
        <v>1</v>
      </c>
      <c r="H32" s="7">
        <f t="shared" si="0"/>
        <v>14.999000000000002</v>
      </c>
      <c r="I32" s="10">
        <f t="shared" si="1"/>
        <v>164.989</v>
      </c>
      <c r="L32" s="12" t="s">
        <v>74</v>
      </c>
      <c r="M32" s="11"/>
      <c r="N32" s="2" t="str">
        <f>P31&amp;"-"&amp;P31+10</f>
        <v>0-10</v>
      </c>
      <c r="O32" s="2" t="s">
        <v>95</v>
      </c>
      <c r="P32" s="2">
        <v>10</v>
      </c>
    </row>
    <row r="33" spans="2:16" x14ac:dyDescent="0.25">
      <c r="B33" s="7">
        <v>1013</v>
      </c>
      <c r="C33" s="8">
        <v>45298</v>
      </c>
      <c r="D33" s="7" t="s">
        <v>23</v>
      </c>
      <c r="E33" s="8">
        <v>45300</v>
      </c>
      <c r="F33" s="10">
        <v>49.99</v>
      </c>
      <c r="G33" s="7">
        <v>3</v>
      </c>
      <c r="H33" s="7">
        <f t="shared" si="0"/>
        <v>14.997</v>
      </c>
      <c r="I33" s="10">
        <f t="shared" si="1"/>
        <v>164.96699999999998</v>
      </c>
      <c r="L33" s="2" t="s">
        <v>75</v>
      </c>
      <c r="M33" s="11"/>
      <c r="N33" s="2" t="str">
        <f t="shared" ref="N33:N37" si="2">P32&amp;"-"&amp;P32+10</f>
        <v>10-20</v>
      </c>
      <c r="O33" s="2" t="s">
        <v>96</v>
      </c>
      <c r="P33" s="2">
        <v>20</v>
      </c>
    </row>
    <row r="34" spans="2:16" x14ac:dyDescent="0.25">
      <c r="B34" s="7">
        <v>1022</v>
      </c>
      <c r="C34" s="8">
        <v>45302</v>
      </c>
      <c r="D34" s="7" t="s">
        <v>32</v>
      </c>
      <c r="E34" s="8">
        <v>45306</v>
      </c>
      <c r="F34" s="10">
        <v>49.99</v>
      </c>
      <c r="G34" s="7">
        <v>3</v>
      </c>
      <c r="H34" s="7">
        <f t="shared" si="0"/>
        <v>14.997</v>
      </c>
      <c r="I34" s="10">
        <f t="shared" si="1"/>
        <v>164.96699999999998</v>
      </c>
      <c r="L34" s="12" t="s">
        <v>76</v>
      </c>
      <c r="M34" s="11"/>
      <c r="N34" s="2" t="str">
        <f t="shared" si="2"/>
        <v>20-30</v>
      </c>
    </row>
    <row r="35" spans="2:16" x14ac:dyDescent="0.25">
      <c r="B35" s="7">
        <v>1031</v>
      </c>
      <c r="C35" s="8">
        <v>45307</v>
      </c>
      <c r="D35" s="7" t="s">
        <v>40</v>
      </c>
      <c r="E35" s="8">
        <v>45310</v>
      </c>
      <c r="F35" s="10">
        <v>49.99</v>
      </c>
      <c r="G35" s="7">
        <v>3</v>
      </c>
      <c r="H35" s="7">
        <f t="shared" si="0"/>
        <v>14.997</v>
      </c>
      <c r="I35" s="10">
        <f t="shared" si="1"/>
        <v>164.96699999999998</v>
      </c>
      <c r="L35" s="17" t="s">
        <v>93</v>
      </c>
      <c r="M35" s="11"/>
    </row>
    <row r="36" spans="2:16" x14ac:dyDescent="0.25">
      <c r="B36" s="7">
        <v>1040</v>
      </c>
      <c r="C36" s="8">
        <v>45311</v>
      </c>
      <c r="D36" s="7" t="s">
        <v>34</v>
      </c>
      <c r="E36" s="8">
        <v>45312</v>
      </c>
      <c r="F36" s="10">
        <v>49.99</v>
      </c>
      <c r="G36" s="7">
        <v>3</v>
      </c>
      <c r="H36" s="7">
        <f t="shared" si="0"/>
        <v>14.997</v>
      </c>
      <c r="I36" s="10">
        <f t="shared" si="1"/>
        <v>164.96699999999998</v>
      </c>
      <c r="M36" s="11"/>
    </row>
    <row r="37" spans="2:16" x14ac:dyDescent="0.25">
      <c r="B37" s="7">
        <v>1049</v>
      </c>
      <c r="C37" s="8">
        <v>45316</v>
      </c>
      <c r="D37" s="7" t="s">
        <v>53</v>
      </c>
      <c r="E37" s="8">
        <v>45321</v>
      </c>
      <c r="F37" s="10">
        <v>49.99</v>
      </c>
      <c r="G37" s="7">
        <v>3</v>
      </c>
      <c r="H37" s="7">
        <f t="shared" si="0"/>
        <v>14.997</v>
      </c>
      <c r="I37" s="10">
        <f t="shared" si="1"/>
        <v>164.96699999999998</v>
      </c>
      <c r="M37" s="11"/>
    </row>
    <row r="38" spans="2:16" x14ac:dyDescent="0.25">
      <c r="B38" s="7">
        <v>1058</v>
      </c>
      <c r="C38" s="8">
        <v>45320</v>
      </c>
      <c r="D38" s="7" t="s">
        <v>48</v>
      </c>
      <c r="E38" s="8">
        <v>45322</v>
      </c>
      <c r="F38" s="10">
        <v>49.99</v>
      </c>
      <c r="G38" s="7">
        <v>3</v>
      </c>
      <c r="H38" s="7">
        <f t="shared" si="0"/>
        <v>14.997</v>
      </c>
      <c r="I38" s="10">
        <f t="shared" si="1"/>
        <v>164.96699999999998</v>
      </c>
      <c r="M38" s="11"/>
    </row>
    <row r="39" spans="2:16" x14ac:dyDescent="0.25">
      <c r="B39" s="7">
        <v>1067</v>
      </c>
      <c r="C39" s="8">
        <v>45325</v>
      </c>
      <c r="D39" s="7" t="s">
        <v>55</v>
      </c>
      <c r="E39" s="8">
        <v>45328</v>
      </c>
      <c r="F39" s="10">
        <v>49.99</v>
      </c>
      <c r="G39" s="7">
        <v>3</v>
      </c>
      <c r="H39" s="7">
        <f t="shared" si="0"/>
        <v>14.997</v>
      </c>
      <c r="I39" s="10">
        <f t="shared" si="1"/>
        <v>164.96699999999998</v>
      </c>
      <c r="M39" s="11"/>
    </row>
    <row r="40" spans="2:16" x14ac:dyDescent="0.25">
      <c r="B40" s="7">
        <v>1011</v>
      </c>
      <c r="C40" s="8">
        <v>45297</v>
      </c>
      <c r="D40" s="7" t="s">
        <v>21</v>
      </c>
      <c r="E40" s="8">
        <v>45298</v>
      </c>
      <c r="F40" s="10">
        <v>29.99</v>
      </c>
      <c r="G40" s="7">
        <v>5</v>
      </c>
      <c r="H40" s="7">
        <f t="shared" si="0"/>
        <v>14.994999999999999</v>
      </c>
      <c r="I40" s="10">
        <f t="shared" si="1"/>
        <v>164.94499999999999</v>
      </c>
      <c r="M40" s="11"/>
    </row>
    <row r="41" spans="2:16" x14ac:dyDescent="0.25">
      <c r="B41" s="7">
        <v>1020</v>
      </c>
      <c r="C41" s="8">
        <v>45301</v>
      </c>
      <c r="D41" s="7" t="s">
        <v>30</v>
      </c>
      <c r="E41" s="8">
        <v>45305</v>
      </c>
      <c r="F41" s="10">
        <v>29.99</v>
      </c>
      <c r="G41" s="7">
        <v>5</v>
      </c>
      <c r="H41" s="7">
        <f t="shared" ref="H41:H72" si="3">F41*G41*$I$6</f>
        <v>14.994999999999999</v>
      </c>
      <c r="I41" s="10">
        <f t="shared" ref="I41:I72" si="4">F41*G41+H41</f>
        <v>164.94499999999999</v>
      </c>
      <c r="M41" s="11"/>
    </row>
    <row r="42" spans="2:16" x14ac:dyDescent="0.25">
      <c r="B42" s="7">
        <v>1029</v>
      </c>
      <c r="C42" s="8">
        <v>45306</v>
      </c>
      <c r="D42" s="7" t="s">
        <v>38</v>
      </c>
      <c r="E42" s="8">
        <v>45310</v>
      </c>
      <c r="F42" s="10">
        <v>29.99</v>
      </c>
      <c r="G42" s="7">
        <v>5</v>
      </c>
      <c r="H42" s="7">
        <f t="shared" si="3"/>
        <v>14.994999999999999</v>
      </c>
      <c r="I42" s="10">
        <f t="shared" si="4"/>
        <v>164.94499999999999</v>
      </c>
    </row>
    <row r="43" spans="2:16" x14ac:dyDescent="0.25">
      <c r="B43" s="7">
        <v>1038</v>
      </c>
      <c r="C43" s="8">
        <v>45310</v>
      </c>
      <c r="D43" s="7" t="s">
        <v>47</v>
      </c>
      <c r="E43" s="8">
        <v>45313</v>
      </c>
      <c r="F43" s="10">
        <v>29.99</v>
      </c>
      <c r="G43" s="7">
        <v>5</v>
      </c>
      <c r="H43" s="7">
        <f t="shared" si="3"/>
        <v>14.994999999999999</v>
      </c>
      <c r="I43" s="10">
        <f t="shared" si="4"/>
        <v>164.94499999999999</v>
      </c>
    </row>
    <row r="44" spans="2:16" x14ac:dyDescent="0.25">
      <c r="B44" s="7">
        <v>1047</v>
      </c>
      <c r="C44" s="8">
        <v>45315</v>
      </c>
      <c r="D44" s="7" t="s">
        <v>51</v>
      </c>
      <c r="E44" s="8">
        <v>45316</v>
      </c>
      <c r="F44" s="10">
        <v>29.99</v>
      </c>
      <c r="G44" s="7">
        <v>5</v>
      </c>
      <c r="H44" s="7">
        <f t="shared" si="3"/>
        <v>14.994999999999999</v>
      </c>
      <c r="I44" s="10">
        <f t="shared" si="4"/>
        <v>164.94499999999999</v>
      </c>
    </row>
    <row r="45" spans="2:16" x14ac:dyDescent="0.25">
      <c r="B45" s="7">
        <v>1056</v>
      </c>
      <c r="C45" s="8">
        <v>45319</v>
      </c>
      <c r="D45" s="7" t="s">
        <v>60</v>
      </c>
      <c r="E45" s="8">
        <v>45320</v>
      </c>
      <c r="F45" s="10">
        <v>29.99</v>
      </c>
      <c r="G45" s="7">
        <v>5</v>
      </c>
      <c r="H45" s="7">
        <f t="shared" si="3"/>
        <v>14.994999999999999</v>
      </c>
      <c r="I45" s="10">
        <f t="shared" si="4"/>
        <v>164.94499999999999</v>
      </c>
    </row>
    <row r="46" spans="2:16" x14ac:dyDescent="0.25">
      <c r="B46" s="7">
        <v>1065</v>
      </c>
      <c r="C46" s="8">
        <v>45323</v>
      </c>
      <c r="D46" s="7" t="s">
        <v>53</v>
      </c>
      <c r="E46" s="8">
        <v>45325</v>
      </c>
      <c r="F46" s="10">
        <v>29.99</v>
      </c>
      <c r="G46" s="7">
        <v>5</v>
      </c>
      <c r="H46" s="7">
        <f t="shared" si="3"/>
        <v>14.994999999999999</v>
      </c>
      <c r="I46" s="10">
        <f t="shared" si="4"/>
        <v>164.94499999999999</v>
      </c>
    </row>
    <row r="47" spans="2:16" x14ac:dyDescent="0.25">
      <c r="B47" s="7">
        <v>1008</v>
      </c>
      <c r="C47" s="8">
        <v>45295</v>
      </c>
      <c r="D47" s="7" t="s">
        <v>18</v>
      </c>
      <c r="E47" s="8">
        <v>45300</v>
      </c>
      <c r="F47" s="10">
        <v>69.989999999999995</v>
      </c>
      <c r="G47" s="7">
        <v>2</v>
      </c>
      <c r="H47" s="7">
        <f t="shared" si="3"/>
        <v>13.997999999999999</v>
      </c>
      <c r="I47" s="10">
        <f t="shared" si="4"/>
        <v>153.97799999999998</v>
      </c>
    </row>
    <row r="48" spans="2:16" x14ac:dyDescent="0.25">
      <c r="B48" s="7">
        <v>1017</v>
      </c>
      <c r="C48" s="8">
        <v>45300</v>
      </c>
      <c r="D48" s="7" t="s">
        <v>27</v>
      </c>
      <c r="E48" s="8">
        <v>45305</v>
      </c>
      <c r="F48" s="10">
        <v>69.989999999999995</v>
      </c>
      <c r="G48" s="7">
        <v>2</v>
      </c>
      <c r="H48" s="7">
        <f t="shared" si="3"/>
        <v>13.997999999999999</v>
      </c>
      <c r="I48" s="10">
        <f t="shared" si="4"/>
        <v>153.97799999999998</v>
      </c>
    </row>
    <row r="49" spans="2:9" x14ac:dyDescent="0.25">
      <c r="B49" s="7">
        <v>1026</v>
      </c>
      <c r="C49" s="8">
        <v>45304</v>
      </c>
      <c r="D49" s="7" t="s">
        <v>35</v>
      </c>
      <c r="E49" s="8">
        <v>45305</v>
      </c>
      <c r="F49" s="10">
        <v>69.989999999999995</v>
      </c>
      <c r="G49" s="7">
        <v>2</v>
      </c>
      <c r="H49" s="7">
        <f t="shared" si="3"/>
        <v>13.997999999999999</v>
      </c>
      <c r="I49" s="10">
        <f t="shared" si="4"/>
        <v>153.97799999999998</v>
      </c>
    </row>
    <row r="50" spans="2:9" x14ac:dyDescent="0.25">
      <c r="B50" s="7">
        <v>1035</v>
      </c>
      <c r="C50" s="8">
        <v>45309</v>
      </c>
      <c r="D50" s="7" t="s">
        <v>44</v>
      </c>
      <c r="E50" s="8">
        <v>45314</v>
      </c>
      <c r="F50" s="10">
        <v>69.989999999999995</v>
      </c>
      <c r="G50" s="7">
        <v>2</v>
      </c>
      <c r="H50" s="7">
        <f t="shared" si="3"/>
        <v>13.997999999999999</v>
      </c>
      <c r="I50" s="10">
        <f t="shared" si="4"/>
        <v>153.97799999999998</v>
      </c>
    </row>
    <row r="51" spans="2:9" x14ac:dyDescent="0.25">
      <c r="B51" s="7">
        <v>1044</v>
      </c>
      <c r="C51" s="8">
        <v>45313</v>
      </c>
      <c r="D51" s="7" t="s">
        <v>14</v>
      </c>
      <c r="E51" s="8">
        <v>45316</v>
      </c>
      <c r="F51" s="10">
        <v>69.989999999999995</v>
      </c>
      <c r="G51" s="7">
        <v>2</v>
      </c>
      <c r="H51" s="7">
        <f t="shared" si="3"/>
        <v>13.997999999999999</v>
      </c>
      <c r="I51" s="10">
        <f t="shared" si="4"/>
        <v>153.97799999999998</v>
      </c>
    </row>
    <row r="52" spans="2:9" x14ac:dyDescent="0.25">
      <c r="B52" s="7">
        <v>1053</v>
      </c>
      <c r="C52" s="8">
        <v>45318</v>
      </c>
      <c r="D52" s="7" t="s">
        <v>57</v>
      </c>
      <c r="E52" s="8">
        <v>45322</v>
      </c>
      <c r="F52" s="10">
        <v>69.989999999999995</v>
      </c>
      <c r="G52" s="7">
        <v>2</v>
      </c>
      <c r="H52" s="7">
        <f t="shared" si="3"/>
        <v>13.997999999999999</v>
      </c>
      <c r="I52" s="10">
        <f t="shared" si="4"/>
        <v>153.97799999999998</v>
      </c>
    </row>
    <row r="53" spans="2:9" x14ac:dyDescent="0.25">
      <c r="B53" s="7">
        <v>1062</v>
      </c>
      <c r="C53" s="8">
        <v>45322</v>
      </c>
      <c r="D53" s="7" t="s">
        <v>30</v>
      </c>
      <c r="E53" s="8">
        <v>45326</v>
      </c>
      <c r="F53" s="10">
        <v>69.989999999999995</v>
      </c>
      <c r="G53" s="7">
        <v>2</v>
      </c>
      <c r="H53" s="7">
        <f t="shared" si="3"/>
        <v>13.997999999999999</v>
      </c>
      <c r="I53" s="10">
        <f t="shared" si="4"/>
        <v>153.97799999999998</v>
      </c>
    </row>
    <row r="54" spans="2:9" x14ac:dyDescent="0.25">
      <c r="B54" s="7">
        <v>1014</v>
      </c>
      <c r="C54" s="8">
        <v>45298</v>
      </c>
      <c r="D54" s="7" t="s">
        <v>24</v>
      </c>
      <c r="E54" s="8">
        <v>45303</v>
      </c>
      <c r="F54" s="10">
        <v>129.99</v>
      </c>
      <c r="G54" s="7">
        <v>1</v>
      </c>
      <c r="H54" s="7">
        <f t="shared" si="3"/>
        <v>12.999000000000002</v>
      </c>
      <c r="I54" s="10">
        <f t="shared" si="4"/>
        <v>142.989</v>
      </c>
    </row>
    <row r="55" spans="2:9" x14ac:dyDescent="0.25">
      <c r="B55" s="7">
        <v>1023</v>
      </c>
      <c r="C55" s="8">
        <v>45303</v>
      </c>
      <c r="D55" s="7" t="s">
        <v>33</v>
      </c>
      <c r="E55" s="8">
        <v>45308</v>
      </c>
      <c r="F55" s="10">
        <v>129.99</v>
      </c>
      <c r="G55" s="7">
        <v>1</v>
      </c>
      <c r="H55" s="7">
        <f t="shared" si="3"/>
        <v>12.999000000000002</v>
      </c>
      <c r="I55" s="10">
        <f t="shared" si="4"/>
        <v>142.989</v>
      </c>
    </row>
    <row r="56" spans="2:9" x14ac:dyDescent="0.25">
      <c r="B56" s="7">
        <v>1032</v>
      </c>
      <c r="C56" s="8">
        <v>45307</v>
      </c>
      <c r="D56" s="7" t="s">
        <v>41</v>
      </c>
      <c r="E56" s="8">
        <v>45308</v>
      </c>
      <c r="F56" s="10">
        <v>129.99</v>
      </c>
      <c r="G56" s="7">
        <v>1</v>
      </c>
      <c r="H56" s="7">
        <f t="shared" si="3"/>
        <v>12.999000000000002</v>
      </c>
      <c r="I56" s="10">
        <f t="shared" si="4"/>
        <v>142.989</v>
      </c>
    </row>
    <row r="57" spans="2:9" x14ac:dyDescent="0.25">
      <c r="B57" s="7">
        <v>1041</v>
      </c>
      <c r="C57" s="8">
        <v>45312</v>
      </c>
      <c r="D57" s="7" t="s">
        <v>15</v>
      </c>
      <c r="E57" s="8">
        <v>45317</v>
      </c>
      <c r="F57" s="10">
        <v>129.99</v>
      </c>
      <c r="G57" s="7">
        <v>1</v>
      </c>
      <c r="H57" s="7">
        <f t="shared" si="3"/>
        <v>12.999000000000002</v>
      </c>
      <c r="I57" s="10">
        <f t="shared" si="4"/>
        <v>142.989</v>
      </c>
    </row>
    <row r="58" spans="2:9" x14ac:dyDescent="0.25">
      <c r="B58" s="7">
        <v>1050</v>
      </c>
      <c r="C58" s="8">
        <v>45316</v>
      </c>
      <c r="D58" s="7" t="s">
        <v>54</v>
      </c>
      <c r="E58" s="8">
        <v>45318</v>
      </c>
      <c r="F58" s="10">
        <v>129.99</v>
      </c>
      <c r="G58" s="7">
        <v>1</v>
      </c>
      <c r="H58" s="7">
        <f t="shared" si="3"/>
        <v>12.999000000000002</v>
      </c>
      <c r="I58" s="10">
        <f t="shared" si="4"/>
        <v>142.989</v>
      </c>
    </row>
    <row r="59" spans="2:9" x14ac:dyDescent="0.25">
      <c r="B59" s="7">
        <v>1059</v>
      </c>
      <c r="C59" s="8">
        <v>45321</v>
      </c>
      <c r="D59" s="7" t="s">
        <v>49</v>
      </c>
      <c r="E59" s="8">
        <v>45322</v>
      </c>
      <c r="F59" s="10">
        <v>129.99</v>
      </c>
      <c r="G59" s="7">
        <v>1</v>
      </c>
      <c r="H59" s="7">
        <f t="shared" si="3"/>
        <v>12.999000000000002</v>
      </c>
      <c r="I59" s="10">
        <f t="shared" si="4"/>
        <v>142.989</v>
      </c>
    </row>
    <row r="60" spans="2:9" x14ac:dyDescent="0.25">
      <c r="B60" s="7">
        <v>1068</v>
      </c>
      <c r="C60" s="8">
        <v>45326</v>
      </c>
      <c r="D60" s="7" t="s">
        <v>56</v>
      </c>
      <c r="E60" s="8">
        <v>45327</v>
      </c>
      <c r="F60" s="10">
        <v>129.99</v>
      </c>
      <c r="G60" s="7">
        <v>1</v>
      </c>
      <c r="H60" s="7">
        <f t="shared" si="3"/>
        <v>12.999000000000002</v>
      </c>
      <c r="I60" s="10">
        <f t="shared" si="4"/>
        <v>142.989</v>
      </c>
    </row>
    <row r="61" spans="2:9" x14ac:dyDescent="0.25">
      <c r="B61" s="7">
        <v>1007</v>
      </c>
      <c r="C61" s="8">
        <v>45295</v>
      </c>
      <c r="D61" s="7" t="s">
        <v>17</v>
      </c>
      <c r="E61" s="8">
        <v>45297</v>
      </c>
      <c r="F61" s="10">
        <v>39.99</v>
      </c>
      <c r="G61" s="7">
        <v>3</v>
      </c>
      <c r="H61" s="7">
        <f t="shared" si="3"/>
        <v>11.997</v>
      </c>
      <c r="I61" s="10">
        <f t="shared" si="4"/>
        <v>131.96699999999998</v>
      </c>
    </row>
    <row r="62" spans="2:9" x14ac:dyDescent="0.25">
      <c r="B62" s="7">
        <v>1018</v>
      </c>
      <c r="C62" s="8">
        <v>45300</v>
      </c>
      <c r="D62" s="7" t="s">
        <v>28</v>
      </c>
      <c r="E62" s="8">
        <v>45303</v>
      </c>
      <c r="F62" s="10">
        <v>39.99</v>
      </c>
      <c r="G62" s="7">
        <v>3</v>
      </c>
      <c r="H62" s="7">
        <f t="shared" si="3"/>
        <v>11.997</v>
      </c>
      <c r="I62" s="10">
        <f t="shared" si="4"/>
        <v>131.96699999999998</v>
      </c>
    </row>
    <row r="63" spans="2:9" x14ac:dyDescent="0.25">
      <c r="B63" s="7">
        <v>1027</v>
      </c>
      <c r="C63" s="8">
        <v>45305</v>
      </c>
      <c r="D63" s="7" t="s">
        <v>36</v>
      </c>
      <c r="E63" s="8">
        <v>45309</v>
      </c>
      <c r="F63" s="10">
        <v>39.99</v>
      </c>
      <c r="G63" s="7">
        <v>3</v>
      </c>
      <c r="H63" s="7">
        <f t="shared" si="3"/>
        <v>11.997</v>
      </c>
      <c r="I63" s="10">
        <f t="shared" si="4"/>
        <v>131.96699999999998</v>
      </c>
    </row>
    <row r="64" spans="2:9" x14ac:dyDescent="0.25">
      <c r="B64" s="7">
        <v>1036</v>
      </c>
      <c r="C64" s="8">
        <v>45309</v>
      </c>
      <c r="D64" s="7" t="s">
        <v>45</v>
      </c>
      <c r="E64" s="8">
        <v>45310</v>
      </c>
      <c r="F64" s="10">
        <v>39.99</v>
      </c>
      <c r="G64" s="7">
        <v>3</v>
      </c>
      <c r="H64" s="7">
        <f t="shared" si="3"/>
        <v>11.997</v>
      </c>
      <c r="I64" s="10">
        <f t="shared" si="4"/>
        <v>131.96699999999998</v>
      </c>
    </row>
    <row r="65" spans="2:9" x14ac:dyDescent="0.25">
      <c r="B65" s="7">
        <v>1045</v>
      </c>
      <c r="C65" s="8">
        <v>45314</v>
      </c>
      <c r="D65" s="7" t="s">
        <v>50</v>
      </c>
      <c r="E65" s="8">
        <v>45318</v>
      </c>
      <c r="F65" s="10">
        <v>39.99</v>
      </c>
      <c r="G65" s="7">
        <v>3</v>
      </c>
      <c r="H65" s="7">
        <f t="shared" si="3"/>
        <v>11.997</v>
      </c>
      <c r="I65" s="10">
        <f t="shared" si="4"/>
        <v>131.96699999999998</v>
      </c>
    </row>
    <row r="66" spans="2:9" x14ac:dyDescent="0.25">
      <c r="B66" s="7">
        <v>1054</v>
      </c>
      <c r="C66" s="8">
        <v>45318</v>
      </c>
      <c r="D66" s="7" t="s">
        <v>58</v>
      </c>
      <c r="E66" s="8">
        <v>45322</v>
      </c>
      <c r="F66" s="10">
        <v>39.99</v>
      </c>
      <c r="G66" s="7">
        <v>3</v>
      </c>
      <c r="H66" s="7">
        <f t="shared" si="3"/>
        <v>11.997</v>
      </c>
      <c r="I66" s="10">
        <f t="shared" si="4"/>
        <v>131.96699999999998</v>
      </c>
    </row>
    <row r="67" spans="2:9" x14ac:dyDescent="0.25">
      <c r="B67" s="7">
        <v>1063</v>
      </c>
      <c r="C67" s="8">
        <v>45323</v>
      </c>
      <c r="D67" s="7" t="s">
        <v>51</v>
      </c>
      <c r="E67" s="8">
        <v>45324</v>
      </c>
      <c r="F67" s="10">
        <v>39.99</v>
      </c>
      <c r="G67" s="7">
        <v>3</v>
      </c>
      <c r="H67" s="7">
        <f t="shared" si="3"/>
        <v>11.997</v>
      </c>
      <c r="I67" s="10">
        <f t="shared" si="4"/>
        <v>131.96699999999998</v>
      </c>
    </row>
    <row r="68" spans="2:9" x14ac:dyDescent="0.25">
      <c r="B68" s="7">
        <v>1001</v>
      </c>
      <c r="C68" s="8">
        <v>45292</v>
      </c>
      <c r="D68" s="7" t="s">
        <v>11</v>
      </c>
      <c r="E68" s="8">
        <v>45294</v>
      </c>
      <c r="F68" s="10">
        <v>49.99</v>
      </c>
      <c r="G68" s="7">
        <v>2</v>
      </c>
      <c r="H68" s="7">
        <f t="shared" si="3"/>
        <v>9.9980000000000011</v>
      </c>
      <c r="I68" s="10">
        <f t="shared" si="4"/>
        <v>109.97800000000001</v>
      </c>
    </row>
    <row r="69" spans="2:9" x14ac:dyDescent="0.25">
      <c r="B69" s="7">
        <v>1009</v>
      </c>
      <c r="C69" s="8">
        <v>45296</v>
      </c>
      <c r="D69" s="7" t="s">
        <v>19</v>
      </c>
      <c r="E69" s="8">
        <v>45297</v>
      </c>
      <c r="F69" s="10">
        <v>89.99</v>
      </c>
      <c r="G69" s="7">
        <v>1</v>
      </c>
      <c r="H69" s="7">
        <f t="shared" si="3"/>
        <v>8.9990000000000006</v>
      </c>
      <c r="I69" s="10">
        <f t="shared" si="4"/>
        <v>98.98899999999999</v>
      </c>
    </row>
    <row r="70" spans="2:9" x14ac:dyDescent="0.25">
      <c r="B70" s="7">
        <v>1004</v>
      </c>
      <c r="C70" s="8">
        <v>45293</v>
      </c>
      <c r="D70" s="7" t="s">
        <v>14</v>
      </c>
      <c r="E70" s="8">
        <v>45294</v>
      </c>
      <c r="F70" s="10">
        <v>19.989999999999998</v>
      </c>
      <c r="G70" s="7">
        <v>4</v>
      </c>
      <c r="H70" s="7">
        <f t="shared" si="3"/>
        <v>7.9959999999999996</v>
      </c>
      <c r="I70" s="10">
        <f t="shared" si="4"/>
        <v>87.955999999999989</v>
      </c>
    </row>
    <row r="71" spans="2:9" x14ac:dyDescent="0.25">
      <c r="B71" s="7">
        <v>1015</v>
      </c>
      <c r="C71" s="8">
        <v>45299</v>
      </c>
      <c r="D71" s="7" t="s">
        <v>25</v>
      </c>
      <c r="E71" s="8">
        <v>45304</v>
      </c>
      <c r="F71" s="10">
        <v>19.989999999999998</v>
      </c>
      <c r="G71" s="7">
        <v>4</v>
      </c>
      <c r="H71" s="7">
        <f t="shared" si="3"/>
        <v>7.9959999999999996</v>
      </c>
      <c r="I71" s="10">
        <f t="shared" si="4"/>
        <v>87.955999999999989</v>
      </c>
    </row>
    <row r="72" spans="2:9" x14ac:dyDescent="0.25">
      <c r="B72" s="7">
        <v>1024</v>
      </c>
      <c r="C72" s="8">
        <v>45303</v>
      </c>
      <c r="D72" s="7" t="s">
        <v>34</v>
      </c>
      <c r="E72" s="8">
        <v>45308</v>
      </c>
      <c r="F72" s="10">
        <v>19.989999999999998</v>
      </c>
      <c r="G72" s="7">
        <v>4</v>
      </c>
      <c r="H72" s="7">
        <f t="shared" si="3"/>
        <v>7.9959999999999996</v>
      </c>
      <c r="I72" s="10">
        <f t="shared" si="4"/>
        <v>87.955999999999989</v>
      </c>
    </row>
    <row r="73" spans="2:9" x14ac:dyDescent="0.25">
      <c r="B73" s="7">
        <v>1033</v>
      </c>
      <c r="C73" s="8">
        <v>45308</v>
      </c>
      <c r="D73" s="7" t="s">
        <v>42</v>
      </c>
      <c r="E73" s="8">
        <v>45310</v>
      </c>
      <c r="F73" s="10">
        <v>19.989999999999998</v>
      </c>
      <c r="G73" s="7">
        <v>4</v>
      </c>
      <c r="H73" s="7">
        <f t="shared" ref="H73:H78" si="5">F73*G73*$I$6</f>
        <v>7.9959999999999996</v>
      </c>
      <c r="I73" s="10">
        <f t="shared" ref="I73:I78" si="6">F73*G73+H73</f>
        <v>87.955999999999989</v>
      </c>
    </row>
    <row r="74" spans="2:9" x14ac:dyDescent="0.25">
      <c r="B74" s="7">
        <v>1042</v>
      </c>
      <c r="C74" s="8">
        <v>45312</v>
      </c>
      <c r="D74" s="7" t="s">
        <v>48</v>
      </c>
      <c r="E74" s="8">
        <v>45314</v>
      </c>
      <c r="F74" s="10">
        <v>19.989999999999998</v>
      </c>
      <c r="G74" s="7">
        <v>4</v>
      </c>
      <c r="H74" s="7">
        <f t="shared" si="5"/>
        <v>7.9959999999999996</v>
      </c>
      <c r="I74" s="10">
        <f t="shared" si="6"/>
        <v>87.955999999999989</v>
      </c>
    </row>
    <row r="75" spans="2:9" x14ac:dyDescent="0.25">
      <c r="B75" s="7">
        <v>1051</v>
      </c>
      <c r="C75" s="8">
        <v>45317</v>
      </c>
      <c r="D75" s="7" t="s">
        <v>55</v>
      </c>
      <c r="E75" s="8">
        <v>45320</v>
      </c>
      <c r="F75" s="10">
        <v>19.989999999999998</v>
      </c>
      <c r="G75" s="7">
        <v>4</v>
      </c>
      <c r="H75" s="7">
        <f t="shared" si="5"/>
        <v>7.9959999999999996</v>
      </c>
      <c r="I75" s="10">
        <f t="shared" si="6"/>
        <v>87.955999999999989</v>
      </c>
    </row>
    <row r="76" spans="2:9" x14ac:dyDescent="0.25">
      <c r="B76" s="7">
        <v>1060</v>
      </c>
      <c r="C76" s="8">
        <v>45321</v>
      </c>
      <c r="D76" s="7" t="s">
        <v>14</v>
      </c>
      <c r="E76" s="8">
        <v>45323</v>
      </c>
      <c r="F76" s="10">
        <v>19.989999999999998</v>
      </c>
      <c r="G76" s="7">
        <v>4</v>
      </c>
      <c r="H76" s="7">
        <f t="shared" si="5"/>
        <v>7.9959999999999996</v>
      </c>
      <c r="I76" s="10">
        <f t="shared" si="6"/>
        <v>87.955999999999989</v>
      </c>
    </row>
    <row r="77" spans="2:9" x14ac:dyDescent="0.25">
      <c r="B77" s="7">
        <v>1069</v>
      </c>
      <c r="C77" s="8">
        <v>45326</v>
      </c>
      <c r="D77" s="7" t="s">
        <v>57</v>
      </c>
      <c r="E77" s="8">
        <v>45330</v>
      </c>
      <c r="F77" s="10">
        <v>19.989999999999998</v>
      </c>
      <c r="G77" s="7">
        <v>4</v>
      </c>
      <c r="H77" s="7">
        <f t="shared" si="5"/>
        <v>7.9959999999999996</v>
      </c>
      <c r="I77" s="10">
        <f t="shared" si="6"/>
        <v>87.955999999999989</v>
      </c>
    </row>
    <row r="78" spans="2:9" x14ac:dyDescent="0.25">
      <c r="B78" s="7">
        <v>1002</v>
      </c>
      <c r="C78" s="8">
        <v>45292</v>
      </c>
      <c r="D78" s="7" t="s">
        <v>12</v>
      </c>
      <c r="E78" s="8">
        <v>45295</v>
      </c>
      <c r="F78" s="10">
        <v>29.99</v>
      </c>
      <c r="G78" s="7">
        <v>1</v>
      </c>
      <c r="H78" s="7">
        <f t="shared" si="5"/>
        <v>2.9990000000000001</v>
      </c>
      <c r="I78" s="10">
        <f t="shared" si="6"/>
        <v>32.988999999999997</v>
      </c>
    </row>
    <row r="79" spans="2:9" x14ac:dyDescent="0.25">
      <c r="C79" s="9"/>
    </row>
    <row r="80" spans="2:9" x14ac:dyDescent="0.25">
      <c r="C80" s="9"/>
    </row>
  </sheetData>
  <autoFilter ref="B8:I78" xr:uid="{1604B641-85A2-41D5-8251-12E6997024AE}">
    <sortState xmlns:xlrd2="http://schemas.microsoft.com/office/spreadsheetml/2017/richdata2" ref="B9:I78">
      <sortCondition descending="1" ref="I8"/>
    </sortState>
  </autoFilter>
  <phoneticPr fontId="9" type="noConversion"/>
  <conditionalFormatting sqref="B9:B78">
    <cfRule type="expression" dxfId="13" priority="2">
      <formula>AND($F9&gt;50,$F9&lt;100)</formula>
    </cfRule>
  </conditionalFormatting>
  <conditionalFormatting sqref="C9:C78">
    <cfRule type="expression" dxfId="12" priority="1">
      <formula>WEEKDAY($C9,2)&gt;5</formula>
    </cfRule>
  </conditionalFormatting>
  <conditionalFormatting sqref="D9:D78">
    <cfRule type="expression" dxfId="11" priority="4">
      <formula>$G9&gt;2</formula>
    </cfRule>
    <cfRule type="uniqueValues" dxfId="10" priority="29"/>
    <cfRule type="uniqueValues" dxfId="9" priority="30"/>
    <cfRule type="duplicateValues" dxfId="8" priority="31"/>
  </conditionalFormatting>
  <conditionalFormatting sqref="G9:G78">
    <cfRule type="cellIs" dxfId="7" priority="43" operator="greaterThan">
      <formula>"Total(USD)&gt;200"</formula>
    </cfRule>
  </conditionalFormatting>
  <conditionalFormatting sqref="I9:I78">
    <cfRule type="colorScale" priority="32">
      <colorScale>
        <cfvo type="min"/>
        <cfvo type="max"/>
        <color rgb="FFF8696B"/>
        <color rgb="FFFCFCFF"/>
      </colorScale>
    </cfRule>
    <cfRule type="top10" dxfId="6" priority="33" bottom="1" rank="5"/>
    <cfRule type="top10" dxfId="5" priority="34" bottom="1" rank="10"/>
    <cfRule type="top10" dxfId="4" priority="35" rank="10"/>
    <cfRule type="top10" dxfId="3" priority="36" rank="10"/>
    <cfRule type="top10" dxfId="2" priority="37" rank="10"/>
    <cfRule type="cellIs" dxfId="1" priority="42" operator="greaterThan">
      <formula>200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2238E5-CE77-4C84-BEED-B736043363A0}">
  <dimension ref="B2:U74"/>
  <sheetViews>
    <sheetView tabSelected="1" topLeftCell="A3" workbookViewId="0">
      <selection activeCell="H2" activeCellId="2" sqref="E9 B2:B72 H2:H72"/>
    </sheetView>
  </sheetViews>
  <sheetFormatPr defaultRowHeight="15" x14ac:dyDescent="0.25"/>
  <cols>
    <col min="1" max="1" width="6.28515625" customWidth="1"/>
    <col min="2" max="2" width="17.28515625" customWidth="1"/>
    <col min="3" max="3" width="16.42578125" customWidth="1"/>
    <col min="4" max="4" width="19.85546875" customWidth="1"/>
    <col min="5" max="5" width="16.140625" customWidth="1"/>
    <col min="6" max="6" width="18.5703125" customWidth="1"/>
    <col min="7" max="7" width="14.5703125" customWidth="1"/>
    <col min="8" max="8" width="16.28515625" customWidth="1"/>
    <col min="9" max="9" width="13.7109375" customWidth="1"/>
    <col min="10" max="10" width="10.85546875" customWidth="1"/>
    <col min="11" max="11" width="11" customWidth="1"/>
    <col min="18" max="18" width="20.7109375" bestFit="1" customWidth="1"/>
    <col min="19" max="19" width="16.85546875" bestFit="1" customWidth="1"/>
    <col min="20" max="20" width="6.140625" bestFit="1" customWidth="1"/>
    <col min="21" max="21" width="11.28515625" bestFit="1" customWidth="1"/>
    <col min="22" max="52" width="10.42578125" bestFit="1" customWidth="1"/>
    <col min="53" max="53" width="11.28515625" bestFit="1" customWidth="1"/>
    <col min="54" max="68" width="21.7109375" bestFit="1" customWidth="1"/>
    <col min="69" max="69" width="11.28515625" bestFit="1" customWidth="1"/>
  </cols>
  <sheetData>
    <row r="2" spans="2:21" ht="15.75" x14ac:dyDescent="0.25">
      <c r="B2" s="4" t="s">
        <v>3</v>
      </c>
      <c r="C2" s="4" t="s">
        <v>4</v>
      </c>
      <c r="D2" s="4" t="s">
        <v>5</v>
      </c>
      <c r="E2" s="4" t="s">
        <v>6</v>
      </c>
      <c r="F2" s="4" t="s">
        <v>7</v>
      </c>
      <c r="G2" s="4" t="s">
        <v>8</v>
      </c>
      <c r="H2" s="4" t="s">
        <v>9</v>
      </c>
      <c r="I2" s="6" t="s">
        <v>10</v>
      </c>
    </row>
    <row r="3" spans="2:21" x14ac:dyDescent="0.25">
      <c r="B3" s="7">
        <v>1001</v>
      </c>
      <c r="C3" s="8">
        <v>45292</v>
      </c>
      <c r="D3" s="7" t="s">
        <v>11</v>
      </c>
      <c r="E3" s="8">
        <v>45294</v>
      </c>
      <c r="F3" s="10">
        <v>49.99</v>
      </c>
      <c r="G3" s="7">
        <v>2</v>
      </c>
      <c r="H3" s="10">
        <f ca="1">F3*G3*$I$6</f>
        <v>9.9980000000000011</v>
      </c>
      <c r="I3" s="10">
        <f ca="1">F3*G3+H3</f>
        <v>109.97800000000001</v>
      </c>
    </row>
    <row r="4" spans="2:21" x14ac:dyDescent="0.25">
      <c r="B4" s="10">
        <v>1002</v>
      </c>
      <c r="C4" s="8">
        <v>45292</v>
      </c>
      <c r="D4" s="7" t="s">
        <v>12</v>
      </c>
      <c r="E4" s="8">
        <v>45295</v>
      </c>
      <c r="F4" s="10">
        <v>29.99</v>
      </c>
      <c r="G4" s="7">
        <v>1</v>
      </c>
      <c r="H4" s="10">
        <f t="shared" ref="H4:H67" ca="1" si="0">F4*G4*$I$6</f>
        <v>2.9990000000000001</v>
      </c>
      <c r="I4" s="10">
        <f t="shared" ref="I4:I67" ca="1" si="1">F4*G4+H4</f>
        <v>32.988999999999997</v>
      </c>
    </row>
    <row r="5" spans="2:21" x14ac:dyDescent="0.25">
      <c r="B5" s="7">
        <v>1003</v>
      </c>
      <c r="C5" s="8">
        <v>45293</v>
      </c>
      <c r="D5" s="7" t="s">
        <v>13</v>
      </c>
      <c r="E5" s="8">
        <v>45298</v>
      </c>
      <c r="F5" s="10">
        <v>99.99</v>
      </c>
      <c r="G5" s="7">
        <v>3</v>
      </c>
      <c r="H5" s="10">
        <f t="shared" ca="1" si="0"/>
        <v>29.997</v>
      </c>
      <c r="I5" s="10">
        <f t="shared" ca="1" si="1"/>
        <v>329.96699999999998</v>
      </c>
    </row>
    <row r="6" spans="2:21" x14ac:dyDescent="0.25">
      <c r="B6" s="10">
        <v>1004</v>
      </c>
      <c r="C6" s="8">
        <v>45293</v>
      </c>
      <c r="D6" s="7" t="s">
        <v>14</v>
      </c>
      <c r="E6" s="8">
        <v>45294</v>
      </c>
      <c r="F6" s="10">
        <v>19.989999999999998</v>
      </c>
      <c r="G6" s="7">
        <v>4</v>
      </c>
      <c r="H6" s="10">
        <f t="shared" ca="1" si="0"/>
        <v>7.9959999999999996</v>
      </c>
      <c r="I6" s="10">
        <f t="shared" ca="1" si="1"/>
        <v>87.955999999999989</v>
      </c>
    </row>
    <row r="7" spans="2:21" x14ac:dyDescent="0.25">
      <c r="B7" s="7">
        <v>1005</v>
      </c>
      <c r="C7" s="8">
        <v>45294</v>
      </c>
      <c r="D7" s="7" t="s">
        <v>15</v>
      </c>
      <c r="E7" s="8">
        <v>45299</v>
      </c>
      <c r="F7" s="10">
        <v>149.99</v>
      </c>
      <c r="G7" s="7">
        <v>1</v>
      </c>
      <c r="H7" s="10">
        <f t="shared" ca="1" si="0"/>
        <v>14.999000000000002</v>
      </c>
      <c r="I7" s="10">
        <f t="shared" ca="1" si="1"/>
        <v>164.989</v>
      </c>
    </row>
    <row r="8" spans="2:21" x14ac:dyDescent="0.25">
      <c r="B8" s="7">
        <v>1006</v>
      </c>
      <c r="C8" s="8">
        <v>45294</v>
      </c>
      <c r="D8" s="7" t="s">
        <v>16</v>
      </c>
      <c r="E8" s="8">
        <v>45297</v>
      </c>
      <c r="F8" s="10">
        <v>79.989999999999995</v>
      </c>
      <c r="G8" s="7">
        <v>2</v>
      </c>
      <c r="H8" s="10">
        <f t="shared" ca="1" si="0"/>
        <v>15.997999999999999</v>
      </c>
      <c r="I8" s="10">
        <f t="shared" ca="1" si="1"/>
        <v>175.97799999999998</v>
      </c>
    </row>
    <row r="9" spans="2:21" x14ac:dyDescent="0.25">
      <c r="B9" s="7">
        <v>1007</v>
      </c>
      <c r="C9" s="8">
        <v>45295</v>
      </c>
      <c r="D9" s="7" t="s">
        <v>17</v>
      </c>
      <c r="E9" s="8">
        <v>45297</v>
      </c>
      <c r="F9" s="10">
        <v>39.99</v>
      </c>
      <c r="G9" s="7">
        <v>3</v>
      </c>
      <c r="H9" s="10">
        <f t="shared" ca="1" si="0"/>
        <v>11.997</v>
      </c>
      <c r="I9" s="10">
        <f t="shared" ca="1" si="1"/>
        <v>131.96699999999998</v>
      </c>
    </row>
    <row r="10" spans="2:21" x14ac:dyDescent="0.25">
      <c r="B10" s="7">
        <v>1008</v>
      </c>
      <c r="C10" s="8">
        <v>45295</v>
      </c>
      <c r="D10" s="7" t="s">
        <v>18</v>
      </c>
      <c r="E10" s="8">
        <v>45300</v>
      </c>
      <c r="F10" s="10">
        <v>69.989999999999995</v>
      </c>
      <c r="G10" s="7">
        <v>2</v>
      </c>
      <c r="H10" s="10">
        <f t="shared" ca="1" si="0"/>
        <v>13.997999999999999</v>
      </c>
      <c r="I10" s="10">
        <f t="shared" ca="1" si="1"/>
        <v>153.97799999999998</v>
      </c>
    </row>
    <row r="11" spans="2:21" x14ac:dyDescent="0.25">
      <c r="B11" s="7">
        <v>1009</v>
      </c>
      <c r="C11" s="8">
        <v>45296</v>
      </c>
      <c r="D11" s="7" t="s">
        <v>19</v>
      </c>
      <c r="E11" s="8">
        <v>45297</v>
      </c>
      <c r="F11" s="10">
        <v>89.99</v>
      </c>
      <c r="G11" s="7">
        <v>1</v>
      </c>
      <c r="H11" s="10">
        <f t="shared" ca="1" si="0"/>
        <v>8.9990000000000006</v>
      </c>
      <c r="I11" s="10">
        <f t="shared" ca="1" si="1"/>
        <v>98.98899999999999</v>
      </c>
      <c r="K11" s="14" t="s">
        <v>77</v>
      </c>
      <c r="L11" s="15"/>
      <c r="M11" s="15"/>
      <c r="R11" s="18" t="s">
        <v>100</v>
      </c>
      <c r="S11" s="18" t="s">
        <v>97</v>
      </c>
    </row>
    <row r="12" spans="2:21" x14ac:dyDescent="0.25">
      <c r="B12" s="7">
        <v>1010</v>
      </c>
      <c r="C12" s="8">
        <v>45296</v>
      </c>
      <c r="D12" s="7" t="s">
        <v>20</v>
      </c>
      <c r="E12" s="8">
        <v>45299</v>
      </c>
      <c r="F12" s="10">
        <v>199.99</v>
      </c>
      <c r="G12" s="7">
        <v>1</v>
      </c>
      <c r="H12" s="10">
        <f t="shared" ca="1" si="0"/>
        <v>19.999000000000002</v>
      </c>
      <c r="I12" s="10">
        <f t="shared" ca="1" si="1"/>
        <v>219.989</v>
      </c>
      <c r="K12" s="14"/>
      <c r="L12" s="15"/>
      <c r="M12" s="15"/>
      <c r="S12" t="s">
        <v>101</v>
      </c>
      <c r="T12" t="s">
        <v>102</v>
      </c>
      <c r="U12" t="s">
        <v>98</v>
      </c>
    </row>
    <row r="13" spans="2:21" x14ac:dyDescent="0.25">
      <c r="B13" s="7">
        <v>1011</v>
      </c>
      <c r="C13" s="8">
        <v>45297</v>
      </c>
      <c r="D13" s="7" t="s">
        <v>21</v>
      </c>
      <c r="E13" s="8">
        <v>45298</v>
      </c>
      <c r="F13" s="10">
        <v>29.99</v>
      </c>
      <c r="G13" s="7">
        <v>5</v>
      </c>
      <c r="H13" s="10">
        <f t="shared" ca="1" si="0"/>
        <v>14.994999999999999</v>
      </c>
      <c r="I13" s="10">
        <f t="shared" ca="1" si="1"/>
        <v>164.94499999999999</v>
      </c>
      <c r="K13" s="14" t="s">
        <v>78</v>
      </c>
      <c r="L13" s="15"/>
      <c r="M13" s="15"/>
    </row>
    <row r="14" spans="2:21" x14ac:dyDescent="0.25">
      <c r="B14" s="7">
        <v>1012</v>
      </c>
      <c r="C14" s="8">
        <v>45297</v>
      </c>
      <c r="D14" s="7" t="s">
        <v>22</v>
      </c>
      <c r="E14" s="8">
        <v>45299</v>
      </c>
      <c r="F14" s="10">
        <v>79.989999999999995</v>
      </c>
      <c r="G14" s="7">
        <v>2</v>
      </c>
      <c r="H14" s="10">
        <f t="shared" ca="1" si="0"/>
        <v>15.997999999999999</v>
      </c>
      <c r="I14" s="10">
        <f t="shared" ca="1" si="1"/>
        <v>175.97799999999998</v>
      </c>
      <c r="K14" s="14" t="s">
        <v>79</v>
      </c>
      <c r="L14" s="15"/>
      <c r="M14" s="15"/>
      <c r="R14" s="18" t="s">
        <v>99</v>
      </c>
    </row>
    <row r="15" spans="2:21" x14ac:dyDescent="0.25">
      <c r="B15" s="7">
        <v>1013</v>
      </c>
      <c r="C15" s="8">
        <v>45298</v>
      </c>
      <c r="D15" s="7" t="s">
        <v>23</v>
      </c>
      <c r="E15" s="8">
        <v>45300</v>
      </c>
      <c r="F15" s="10">
        <v>49.99</v>
      </c>
      <c r="G15" s="7">
        <v>3</v>
      </c>
      <c r="H15" s="10">
        <f t="shared" ca="1" si="0"/>
        <v>14.997</v>
      </c>
      <c r="I15" s="10">
        <f t="shared" ca="1" si="1"/>
        <v>164.96699999999998</v>
      </c>
      <c r="K15" s="13"/>
      <c r="R15" s="19" t="s">
        <v>26</v>
      </c>
      <c r="S15" s="16">
        <v>14.999000000000002</v>
      </c>
      <c r="T15" s="16"/>
      <c r="U15" s="16">
        <v>14.999000000000002</v>
      </c>
    </row>
    <row r="16" spans="2:21" x14ac:dyDescent="0.25">
      <c r="B16" s="7">
        <v>1014</v>
      </c>
      <c r="C16" s="8">
        <v>45298</v>
      </c>
      <c r="D16" s="7" t="s">
        <v>24</v>
      </c>
      <c r="E16" s="8">
        <v>45303</v>
      </c>
      <c r="F16" s="10">
        <v>129.99</v>
      </c>
      <c r="G16" s="7">
        <v>1</v>
      </c>
      <c r="H16" s="10">
        <f t="shared" ca="1" si="0"/>
        <v>12.999000000000002</v>
      </c>
      <c r="I16" s="10">
        <f t="shared" ca="1" si="1"/>
        <v>142.989</v>
      </c>
      <c r="K16" s="13" t="s">
        <v>80</v>
      </c>
      <c r="R16" s="19" t="s">
        <v>32</v>
      </c>
      <c r="S16" s="16">
        <v>14.997</v>
      </c>
      <c r="T16" s="16"/>
      <c r="U16" s="16">
        <v>14.997</v>
      </c>
    </row>
    <row r="17" spans="2:21" x14ac:dyDescent="0.25">
      <c r="B17" s="7">
        <v>1015</v>
      </c>
      <c r="C17" s="8">
        <v>45299</v>
      </c>
      <c r="D17" s="7" t="s">
        <v>25</v>
      </c>
      <c r="E17" s="8">
        <v>45304</v>
      </c>
      <c r="F17" s="10">
        <v>19.989999999999998</v>
      </c>
      <c r="G17" s="7">
        <v>4</v>
      </c>
      <c r="H17" s="10">
        <f t="shared" ca="1" si="0"/>
        <v>7.9959999999999996</v>
      </c>
      <c r="I17" s="10">
        <f t="shared" ca="1" si="1"/>
        <v>87.955999999999989</v>
      </c>
      <c r="K17" s="13"/>
      <c r="R17" s="19" t="s">
        <v>33</v>
      </c>
      <c r="S17" s="16">
        <v>12.999000000000002</v>
      </c>
      <c r="T17" s="16"/>
      <c r="U17" s="16">
        <v>12.999000000000002</v>
      </c>
    </row>
    <row r="18" spans="2:21" x14ac:dyDescent="0.25">
      <c r="B18" s="7">
        <v>1016</v>
      </c>
      <c r="C18" s="8">
        <v>45299</v>
      </c>
      <c r="D18" s="7" t="s">
        <v>26</v>
      </c>
      <c r="E18" s="8">
        <v>45303</v>
      </c>
      <c r="F18" s="10">
        <v>149.99</v>
      </c>
      <c r="G18" s="7">
        <v>1</v>
      </c>
      <c r="H18" s="10">
        <f t="shared" ca="1" si="0"/>
        <v>14.999000000000002</v>
      </c>
      <c r="I18" s="10">
        <f t="shared" ca="1" si="1"/>
        <v>164.989</v>
      </c>
      <c r="K18" s="13" t="s">
        <v>81</v>
      </c>
      <c r="R18" s="19" t="s">
        <v>19</v>
      </c>
      <c r="S18" s="16">
        <v>8.9990000000000006</v>
      </c>
      <c r="T18" s="16"/>
      <c r="U18" s="16">
        <v>8.9990000000000006</v>
      </c>
    </row>
    <row r="19" spans="2:21" x14ac:dyDescent="0.25">
      <c r="B19" s="7">
        <v>1017</v>
      </c>
      <c r="C19" s="8">
        <v>45300</v>
      </c>
      <c r="D19" s="7" t="s">
        <v>27</v>
      </c>
      <c r="E19" s="8">
        <v>45305</v>
      </c>
      <c r="F19" s="10">
        <v>69.989999999999995</v>
      </c>
      <c r="G19" s="7">
        <v>2</v>
      </c>
      <c r="H19" s="10">
        <f t="shared" ca="1" si="0"/>
        <v>13.997999999999999</v>
      </c>
      <c r="I19" s="10">
        <f t="shared" ca="1" si="1"/>
        <v>153.97799999999998</v>
      </c>
      <c r="K19" s="13"/>
      <c r="R19" s="19" t="s">
        <v>57</v>
      </c>
      <c r="S19" s="16">
        <v>13.997999999999999</v>
      </c>
      <c r="T19" s="16">
        <v>7.9959999999999996</v>
      </c>
      <c r="U19" s="16">
        <v>21.994</v>
      </c>
    </row>
    <row r="20" spans="2:21" x14ac:dyDescent="0.25">
      <c r="B20" s="7">
        <v>1018</v>
      </c>
      <c r="C20" s="8">
        <v>45300</v>
      </c>
      <c r="D20" s="7" t="s">
        <v>28</v>
      </c>
      <c r="E20" s="8">
        <v>45303</v>
      </c>
      <c r="F20" s="10">
        <v>39.99</v>
      </c>
      <c r="G20" s="7">
        <v>3</v>
      </c>
      <c r="H20" s="10">
        <f t="shared" ca="1" si="0"/>
        <v>11.997</v>
      </c>
      <c r="I20" s="10">
        <f t="shared" ca="1" si="1"/>
        <v>131.96699999999998</v>
      </c>
      <c r="K20" s="13" t="s">
        <v>82</v>
      </c>
      <c r="R20" s="19" t="s">
        <v>46</v>
      </c>
      <c r="S20" s="16">
        <v>19.999000000000002</v>
      </c>
      <c r="T20" s="16"/>
      <c r="U20" s="16">
        <v>19.999000000000002</v>
      </c>
    </row>
    <row r="21" spans="2:21" x14ac:dyDescent="0.25">
      <c r="B21" s="7">
        <v>1019</v>
      </c>
      <c r="C21" s="8">
        <v>45301</v>
      </c>
      <c r="D21" s="7" t="s">
        <v>29</v>
      </c>
      <c r="E21" s="8">
        <v>45302</v>
      </c>
      <c r="F21" s="10">
        <v>199.99</v>
      </c>
      <c r="G21" s="7">
        <v>1</v>
      </c>
      <c r="H21" s="10">
        <f t="shared" ca="1" si="0"/>
        <v>19.999000000000002</v>
      </c>
      <c r="I21" s="10">
        <f t="shared" ca="1" si="1"/>
        <v>219.989</v>
      </c>
      <c r="K21" s="13" t="s">
        <v>83</v>
      </c>
      <c r="R21" s="19" t="s">
        <v>50</v>
      </c>
      <c r="S21" s="16">
        <v>11.997</v>
      </c>
      <c r="T21" s="16">
        <v>14.999000000000002</v>
      </c>
      <c r="U21" s="16">
        <v>26.996000000000002</v>
      </c>
    </row>
    <row r="22" spans="2:21" x14ac:dyDescent="0.25">
      <c r="B22" s="7">
        <v>1020</v>
      </c>
      <c r="C22" s="8">
        <v>45301</v>
      </c>
      <c r="D22" s="7" t="s">
        <v>30</v>
      </c>
      <c r="E22" s="8">
        <v>45305</v>
      </c>
      <c r="F22" s="10">
        <v>29.99</v>
      </c>
      <c r="G22" s="7">
        <v>5</v>
      </c>
      <c r="H22" s="10">
        <f t="shared" ca="1" si="0"/>
        <v>14.994999999999999</v>
      </c>
      <c r="I22" s="10">
        <f t="shared" ca="1" si="1"/>
        <v>164.94499999999999</v>
      </c>
      <c r="K22" s="13" t="s">
        <v>84</v>
      </c>
      <c r="R22" s="19" t="s">
        <v>17</v>
      </c>
      <c r="S22" s="16">
        <v>11.997</v>
      </c>
      <c r="T22" s="16"/>
      <c r="U22" s="16">
        <v>11.997</v>
      </c>
    </row>
    <row r="23" spans="2:21" x14ac:dyDescent="0.25">
      <c r="B23" s="7">
        <v>1021</v>
      </c>
      <c r="C23" s="8">
        <v>45302</v>
      </c>
      <c r="D23" s="7" t="s">
        <v>31</v>
      </c>
      <c r="E23" s="8">
        <v>45305</v>
      </c>
      <c r="F23" s="10">
        <v>79.989999999999995</v>
      </c>
      <c r="G23" s="7">
        <v>2</v>
      </c>
      <c r="H23" s="10">
        <f t="shared" ca="1" si="0"/>
        <v>15.997999999999999</v>
      </c>
      <c r="I23" s="10">
        <f t="shared" ca="1" si="1"/>
        <v>175.97799999999998</v>
      </c>
      <c r="K23" s="13" t="s">
        <v>85</v>
      </c>
      <c r="R23" s="19" t="s">
        <v>29</v>
      </c>
      <c r="S23" s="16">
        <v>19.999000000000002</v>
      </c>
      <c r="T23" s="16"/>
      <c r="U23" s="16">
        <v>19.999000000000002</v>
      </c>
    </row>
    <row r="24" spans="2:21" x14ac:dyDescent="0.25">
      <c r="B24" s="7">
        <v>1022</v>
      </c>
      <c r="C24" s="8">
        <v>45302</v>
      </c>
      <c r="D24" s="7" t="s">
        <v>32</v>
      </c>
      <c r="E24" s="8">
        <v>45306</v>
      </c>
      <c r="F24" s="10">
        <v>49.99</v>
      </c>
      <c r="G24" s="7">
        <v>3</v>
      </c>
      <c r="H24" s="10">
        <f t="shared" ca="1" si="0"/>
        <v>14.997</v>
      </c>
      <c r="I24" s="10">
        <f t="shared" ca="1" si="1"/>
        <v>164.96699999999998</v>
      </c>
      <c r="K24" s="13"/>
      <c r="R24" s="19" t="s">
        <v>38</v>
      </c>
      <c r="S24" s="16">
        <v>14.994999999999999</v>
      </c>
      <c r="T24" s="16"/>
      <c r="U24" s="16">
        <v>14.994999999999999</v>
      </c>
    </row>
    <row r="25" spans="2:21" x14ac:dyDescent="0.25">
      <c r="B25" s="7">
        <v>1023</v>
      </c>
      <c r="C25" s="8">
        <v>45303</v>
      </c>
      <c r="D25" s="7" t="s">
        <v>33</v>
      </c>
      <c r="E25" s="8">
        <v>45308</v>
      </c>
      <c r="F25" s="10">
        <v>129.99</v>
      </c>
      <c r="G25" s="7">
        <v>1</v>
      </c>
      <c r="H25" s="10">
        <f t="shared" ca="1" si="0"/>
        <v>12.999000000000002</v>
      </c>
      <c r="I25" s="10">
        <f t="shared" ca="1" si="1"/>
        <v>142.989</v>
      </c>
      <c r="K25" s="13" t="s">
        <v>86</v>
      </c>
      <c r="R25" s="19" t="s">
        <v>42</v>
      </c>
      <c r="S25" s="16">
        <v>7.9959999999999996</v>
      </c>
      <c r="T25" s="16"/>
      <c r="U25" s="16">
        <v>7.9959999999999996</v>
      </c>
    </row>
    <row r="26" spans="2:21" x14ac:dyDescent="0.25">
      <c r="B26" s="7">
        <v>1024</v>
      </c>
      <c r="C26" s="8">
        <v>45303</v>
      </c>
      <c r="D26" s="7" t="s">
        <v>34</v>
      </c>
      <c r="E26" s="8">
        <v>45308</v>
      </c>
      <c r="F26" s="10">
        <v>19.989999999999998</v>
      </c>
      <c r="G26" s="7">
        <v>4</v>
      </c>
      <c r="H26" s="10">
        <f t="shared" ca="1" si="0"/>
        <v>7.9959999999999996</v>
      </c>
      <c r="I26" s="10">
        <f t="shared" ca="1" si="1"/>
        <v>87.955999999999989</v>
      </c>
      <c r="K26" s="13" t="s">
        <v>87</v>
      </c>
      <c r="R26" s="19" t="s">
        <v>61</v>
      </c>
      <c r="S26" s="16">
        <v>15.997999999999999</v>
      </c>
      <c r="T26" s="16"/>
      <c r="U26" s="16">
        <v>15.997999999999999</v>
      </c>
    </row>
    <row r="27" spans="2:21" x14ac:dyDescent="0.25">
      <c r="B27" s="7">
        <v>1025</v>
      </c>
      <c r="C27" s="8">
        <v>45304</v>
      </c>
      <c r="D27" s="7" t="s">
        <v>15</v>
      </c>
      <c r="E27" s="8">
        <v>45308</v>
      </c>
      <c r="F27" s="10">
        <v>149.99</v>
      </c>
      <c r="G27" s="7">
        <v>1</v>
      </c>
      <c r="H27" s="10">
        <f t="shared" ca="1" si="0"/>
        <v>14.999000000000002</v>
      </c>
      <c r="I27" s="10">
        <f t="shared" ca="1" si="1"/>
        <v>164.989</v>
      </c>
      <c r="K27" s="13"/>
      <c r="R27" s="19" t="s">
        <v>53</v>
      </c>
      <c r="S27" s="16">
        <v>14.997</v>
      </c>
      <c r="T27" s="16">
        <v>14.994999999999999</v>
      </c>
      <c r="U27" s="16">
        <v>29.991999999999997</v>
      </c>
    </row>
    <row r="28" spans="2:21" x14ac:dyDescent="0.25">
      <c r="B28" s="7">
        <v>1026</v>
      </c>
      <c r="C28" s="8">
        <v>45304</v>
      </c>
      <c r="D28" s="7" t="s">
        <v>35</v>
      </c>
      <c r="E28" s="8">
        <v>45305</v>
      </c>
      <c r="F28" s="10">
        <v>69.989999999999995</v>
      </c>
      <c r="G28" s="7">
        <v>2</v>
      </c>
      <c r="H28" s="10">
        <f t="shared" ca="1" si="0"/>
        <v>13.997999999999999</v>
      </c>
      <c r="I28" s="10">
        <f t="shared" ca="1" si="1"/>
        <v>153.97799999999998</v>
      </c>
      <c r="K28" s="13" t="s">
        <v>88</v>
      </c>
      <c r="R28" s="19" t="s">
        <v>15</v>
      </c>
      <c r="S28" s="16">
        <v>42.997000000000007</v>
      </c>
      <c r="T28" s="16"/>
      <c r="U28" s="16">
        <v>42.997000000000007</v>
      </c>
    </row>
    <row r="29" spans="2:21" x14ac:dyDescent="0.25">
      <c r="B29" s="7">
        <v>1027</v>
      </c>
      <c r="C29" s="8">
        <v>45305</v>
      </c>
      <c r="D29" s="7" t="s">
        <v>36</v>
      </c>
      <c r="E29" s="8">
        <v>45309</v>
      </c>
      <c r="F29" s="10">
        <v>39.99</v>
      </c>
      <c r="G29" s="7">
        <v>3</v>
      </c>
      <c r="H29" s="10">
        <f t="shared" ca="1" si="0"/>
        <v>11.997</v>
      </c>
      <c r="I29" s="10">
        <f t="shared" ca="1" si="1"/>
        <v>131.96699999999998</v>
      </c>
      <c r="K29" s="13" t="s">
        <v>89</v>
      </c>
      <c r="R29" s="19" t="s">
        <v>14</v>
      </c>
      <c r="S29" s="16">
        <v>21.994</v>
      </c>
      <c r="T29" s="16">
        <v>7.9959999999999996</v>
      </c>
      <c r="U29" s="16">
        <v>29.99</v>
      </c>
    </row>
    <row r="30" spans="2:21" x14ac:dyDescent="0.25">
      <c r="B30" s="7">
        <v>1028</v>
      </c>
      <c r="C30" s="8">
        <v>45305</v>
      </c>
      <c r="D30" s="7" t="s">
        <v>37</v>
      </c>
      <c r="E30" s="8">
        <v>45310</v>
      </c>
      <c r="F30" s="10">
        <v>199.99</v>
      </c>
      <c r="G30" s="7">
        <v>1</v>
      </c>
      <c r="H30" s="10">
        <f t="shared" ca="1" si="0"/>
        <v>19.999000000000002</v>
      </c>
      <c r="I30" s="10">
        <f t="shared" ca="1" si="1"/>
        <v>219.989</v>
      </c>
      <c r="K30" s="13" t="s">
        <v>90</v>
      </c>
      <c r="R30" s="19" t="s">
        <v>37</v>
      </c>
      <c r="S30" s="16">
        <v>19.999000000000002</v>
      </c>
      <c r="T30" s="16"/>
      <c r="U30" s="16">
        <v>19.999000000000002</v>
      </c>
    </row>
    <row r="31" spans="2:21" x14ac:dyDescent="0.25">
      <c r="B31" s="7">
        <v>1029</v>
      </c>
      <c r="C31" s="8">
        <v>45306</v>
      </c>
      <c r="D31" s="7" t="s">
        <v>38</v>
      </c>
      <c r="E31" s="8">
        <v>45310</v>
      </c>
      <c r="F31" s="10">
        <v>29.99</v>
      </c>
      <c r="G31" s="7">
        <v>5</v>
      </c>
      <c r="H31" s="10">
        <f t="shared" ca="1" si="0"/>
        <v>14.994999999999999</v>
      </c>
      <c r="I31" s="10">
        <f t="shared" ca="1" si="1"/>
        <v>164.94499999999999</v>
      </c>
      <c r="K31" s="13" t="s">
        <v>91</v>
      </c>
      <c r="R31" s="19" t="s">
        <v>56</v>
      </c>
      <c r="S31" s="16">
        <v>14.999000000000002</v>
      </c>
      <c r="T31" s="16">
        <v>12.999000000000002</v>
      </c>
      <c r="U31" s="16">
        <v>27.998000000000005</v>
      </c>
    </row>
    <row r="32" spans="2:21" x14ac:dyDescent="0.25">
      <c r="B32" s="7">
        <v>1030</v>
      </c>
      <c r="C32" s="8">
        <v>45306</v>
      </c>
      <c r="D32" s="7" t="s">
        <v>39</v>
      </c>
      <c r="E32" s="8">
        <v>45310</v>
      </c>
      <c r="F32" s="10">
        <v>79.989999999999995</v>
      </c>
      <c r="G32" s="7">
        <v>2</v>
      </c>
      <c r="H32" s="10">
        <f t="shared" ca="1" si="0"/>
        <v>15.997999999999999</v>
      </c>
      <c r="I32" s="10">
        <f t="shared" ca="1" si="1"/>
        <v>175.97799999999998</v>
      </c>
      <c r="R32" s="19" t="s">
        <v>45</v>
      </c>
      <c r="S32" s="16">
        <v>11.997</v>
      </c>
      <c r="T32" s="16"/>
      <c r="U32" s="16">
        <v>11.997</v>
      </c>
    </row>
    <row r="33" spans="2:21" x14ac:dyDescent="0.25">
      <c r="B33" s="7">
        <v>1031</v>
      </c>
      <c r="C33" s="8">
        <v>45307</v>
      </c>
      <c r="D33" s="7" t="s">
        <v>40</v>
      </c>
      <c r="E33" s="8">
        <v>45310</v>
      </c>
      <c r="F33" s="10">
        <v>49.99</v>
      </c>
      <c r="G33" s="7">
        <v>3</v>
      </c>
      <c r="H33" s="10">
        <f t="shared" ca="1" si="0"/>
        <v>14.997</v>
      </c>
      <c r="I33" s="10">
        <f t="shared" ca="1" si="1"/>
        <v>164.96699999999998</v>
      </c>
      <c r="R33" s="19" t="s">
        <v>27</v>
      </c>
      <c r="S33" s="16">
        <v>13.997999999999999</v>
      </c>
      <c r="T33" s="16"/>
      <c r="U33" s="16">
        <v>13.997999999999999</v>
      </c>
    </row>
    <row r="34" spans="2:21" x14ac:dyDescent="0.25">
      <c r="B34" s="7">
        <v>1032</v>
      </c>
      <c r="C34" s="8">
        <v>45307</v>
      </c>
      <c r="D34" s="7" t="s">
        <v>41</v>
      </c>
      <c r="E34" s="8">
        <v>45308</v>
      </c>
      <c r="F34" s="10">
        <v>129.99</v>
      </c>
      <c r="G34" s="7">
        <v>1</v>
      </c>
      <c r="H34" s="10">
        <f t="shared" ca="1" si="0"/>
        <v>12.999000000000002</v>
      </c>
      <c r="I34" s="10">
        <f t="shared" ca="1" si="1"/>
        <v>142.989</v>
      </c>
      <c r="R34" s="19" t="s">
        <v>12</v>
      </c>
      <c r="S34" s="16">
        <v>2.9990000000000001</v>
      </c>
      <c r="T34" s="16"/>
      <c r="U34" s="16">
        <v>2.9990000000000001</v>
      </c>
    </row>
    <row r="35" spans="2:21" x14ac:dyDescent="0.25">
      <c r="B35" s="7">
        <v>1033</v>
      </c>
      <c r="C35" s="8">
        <v>45308</v>
      </c>
      <c r="D35" s="7" t="s">
        <v>42</v>
      </c>
      <c r="E35" s="8">
        <v>45310</v>
      </c>
      <c r="F35" s="10">
        <v>19.989999999999998</v>
      </c>
      <c r="G35" s="7">
        <v>4</v>
      </c>
      <c r="H35" s="10">
        <f t="shared" ca="1" si="0"/>
        <v>7.9959999999999996</v>
      </c>
      <c r="I35" s="10">
        <f t="shared" ca="1" si="1"/>
        <v>87.955999999999989</v>
      </c>
      <c r="R35" s="19" t="s">
        <v>30</v>
      </c>
      <c r="S35" s="16">
        <v>34.994</v>
      </c>
      <c r="T35" s="16">
        <v>13.997999999999999</v>
      </c>
      <c r="U35" s="16">
        <v>48.991999999999997</v>
      </c>
    </row>
    <row r="36" spans="2:21" x14ac:dyDescent="0.25">
      <c r="B36" s="7">
        <v>1034</v>
      </c>
      <c r="C36" s="8">
        <v>45308</v>
      </c>
      <c r="D36" s="7" t="s">
        <v>43</v>
      </c>
      <c r="E36" s="8">
        <v>45310</v>
      </c>
      <c r="F36" s="10">
        <v>149.99</v>
      </c>
      <c r="G36" s="7">
        <v>1</v>
      </c>
      <c r="H36" s="10">
        <f t="shared" ca="1" si="0"/>
        <v>14.999000000000002</v>
      </c>
      <c r="I36" s="10">
        <f t="shared" ca="1" si="1"/>
        <v>164.989</v>
      </c>
      <c r="R36" s="19" t="s">
        <v>58</v>
      </c>
      <c r="S36" s="16">
        <v>11.997</v>
      </c>
      <c r="T36" s="16">
        <v>14.999000000000002</v>
      </c>
      <c r="U36" s="16">
        <v>26.996000000000002</v>
      </c>
    </row>
    <row r="37" spans="2:21" x14ac:dyDescent="0.25">
      <c r="B37" s="7">
        <v>1035</v>
      </c>
      <c r="C37" s="8">
        <v>45309</v>
      </c>
      <c r="D37" s="7" t="s">
        <v>44</v>
      </c>
      <c r="E37" s="8">
        <v>45314</v>
      </c>
      <c r="F37" s="10">
        <v>69.989999999999995</v>
      </c>
      <c r="G37" s="7">
        <v>2</v>
      </c>
      <c r="H37" s="10">
        <f t="shared" ca="1" si="0"/>
        <v>13.997999999999999</v>
      </c>
      <c r="I37" s="10">
        <f t="shared" ca="1" si="1"/>
        <v>153.97799999999998</v>
      </c>
      <c r="R37" s="19" t="s">
        <v>39</v>
      </c>
      <c r="S37" s="16">
        <v>15.997999999999999</v>
      </c>
      <c r="T37" s="16"/>
      <c r="U37" s="16">
        <v>15.997999999999999</v>
      </c>
    </row>
    <row r="38" spans="2:21" x14ac:dyDescent="0.25">
      <c r="B38" s="7">
        <v>1036</v>
      </c>
      <c r="C38" s="8">
        <v>45309</v>
      </c>
      <c r="D38" s="7" t="s">
        <v>45</v>
      </c>
      <c r="E38" s="8">
        <v>45310</v>
      </c>
      <c r="F38" s="10">
        <v>39.99</v>
      </c>
      <c r="G38" s="7">
        <v>3</v>
      </c>
      <c r="H38" s="10">
        <f t="shared" ca="1" si="0"/>
        <v>11.997</v>
      </c>
      <c r="I38" s="10">
        <f t="shared" ca="1" si="1"/>
        <v>131.96699999999998</v>
      </c>
      <c r="R38" s="19" t="s">
        <v>47</v>
      </c>
      <c r="S38" s="16">
        <v>14.994999999999999</v>
      </c>
      <c r="T38" s="16"/>
      <c r="U38" s="16">
        <v>14.994999999999999</v>
      </c>
    </row>
    <row r="39" spans="2:21" x14ac:dyDescent="0.25">
      <c r="B39" s="7">
        <v>1037</v>
      </c>
      <c r="C39" s="8">
        <v>45310</v>
      </c>
      <c r="D39" s="7" t="s">
        <v>46</v>
      </c>
      <c r="E39" s="8">
        <v>45311</v>
      </c>
      <c r="F39" s="10">
        <v>199.99</v>
      </c>
      <c r="G39" s="7">
        <v>1</v>
      </c>
      <c r="H39" s="10">
        <f t="shared" ca="1" si="0"/>
        <v>19.999000000000002</v>
      </c>
      <c r="I39" s="10">
        <f t="shared" ca="1" si="1"/>
        <v>219.989</v>
      </c>
      <c r="R39" s="19" t="s">
        <v>24</v>
      </c>
      <c r="S39" s="16">
        <v>12.999000000000002</v>
      </c>
      <c r="T39" s="16"/>
      <c r="U39" s="16">
        <v>12.999000000000002</v>
      </c>
    </row>
    <row r="40" spans="2:21" x14ac:dyDescent="0.25">
      <c r="B40" s="7">
        <v>1038</v>
      </c>
      <c r="C40" s="8">
        <v>45310</v>
      </c>
      <c r="D40" s="7" t="s">
        <v>47</v>
      </c>
      <c r="E40" s="8">
        <v>45313</v>
      </c>
      <c r="F40" s="10">
        <v>29.99</v>
      </c>
      <c r="G40" s="7">
        <v>5</v>
      </c>
      <c r="H40" s="10">
        <f t="shared" ca="1" si="0"/>
        <v>14.994999999999999</v>
      </c>
      <c r="I40" s="10">
        <f t="shared" ca="1" si="1"/>
        <v>164.94499999999999</v>
      </c>
      <c r="R40" s="19" t="s">
        <v>41</v>
      </c>
      <c r="S40" s="16">
        <v>12.999000000000002</v>
      </c>
      <c r="T40" s="16"/>
      <c r="U40" s="16">
        <v>12.999000000000002</v>
      </c>
    </row>
    <row r="41" spans="2:21" x14ac:dyDescent="0.25">
      <c r="B41" s="7">
        <v>1039</v>
      </c>
      <c r="C41" s="8">
        <v>45311</v>
      </c>
      <c r="D41" s="7" t="s">
        <v>13</v>
      </c>
      <c r="E41" s="8">
        <v>45315</v>
      </c>
      <c r="F41" s="10">
        <v>79.989999999999995</v>
      </c>
      <c r="G41" s="7">
        <v>2</v>
      </c>
      <c r="H41" s="10">
        <f t="shared" ca="1" si="0"/>
        <v>15.997999999999999</v>
      </c>
      <c r="I41" s="10">
        <f t="shared" ca="1" si="1"/>
        <v>175.97799999999998</v>
      </c>
      <c r="R41" s="19" t="s">
        <v>34</v>
      </c>
      <c r="S41" s="16">
        <v>22.992999999999999</v>
      </c>
      <c r="T41" s="16"/>
      <c r="U41" s="16">
        <v>22.992999999999999</v>
      </c>
    </row>
    <row r="42" spans="2:21" x14ac:dyDescent="0.25">
      <c r="B42" s="7">
        <v>1040</v>
      </c>
      <c r="C42" s="8">
        <v>45311</v>
      </c>
      <c r="D42" s="7" t="s">
        <v>34</v>
      </c>
      <c r="E42" s="8">
        <v>45312</v>
      </c>
      <c r="F42" s="10">
        <v>49.99</v>
      </c>
      <c r="G42" s="7">
        <v>3</v>
      </c>
      <c r="H42" s="10">
        <f t="shared" ca="1" si="0"/>
        <v>14.997</v>
      </c>
      <c r="I42" s="10">
        <f t="shared" ca="1" si="1"/>
        <v>164.96699999999998</v>
      </c>
      <c r="R42" s="19" t="s">
        <v>60</v>
      </c>
      <c r="S42" s="16">
        <v>14.994999999999999</v>
      </c>
      <c r="T42" s="16"/>
      <c r="U42" s="16">
        <v>14.994999999999999</v>
      </c>
    </row>
    <row r="43" spans="2:21" x14ac:dyDescent="0.25">
      <c r="B43" s="7">
        <v>1041</v>
      </c>
      <c r="C43" s="8">
        <v>45312</v>
      </c>
      <c r="D43" s="7" t="s">
        <v>15</v>
      </c>
      <c r="E43" s="8">
        <v>45317</v>
      </c>
      <c r="F43" s="10">
        <v>129.99</v>
      </c>
      <c r="G43" s="7">
        <v>1</v>
      </c>
      <c r="H43" s="10">
        <f t="shared" ca="1" si="0"/>
        <v>12.999000000000002</v>
      </c>
      <c r="I43" s="10">
        <f t="shared" ca="1" si="1"/>
        <v>142.989</v>
      </c>
      <c r="R43" s="19" t="s">
        <v>52</v>
      </c>
      <c r="S43" s="16">
        <v>15.997999999999999</v>
      </c>
      <c r="T43" s="16">
        <v>19.999000000000002</v>
      </c>
      <c r="U43" s="16">
        <v>35.997</v>
      </c>
    </row>
    <row r="44" spans="2:21" x14ac:dyDescent="0.25">
      <c r="B44" s="7">
        <v>1042</v>
      </c>
      <c r="C44" s="8">
        <v>45312</v>
      </c>
      <c r="D44" s="7" t="s">
        <v>48</v>
      </c>
      <c r="E44" s="8">
        <v>45314</v>
      </c>
      <c r="F44" s="10">
        <v>19.989999999999998</v>
      </c>
      <c r="G44" s="7">
        <v>4</v>
      </c>
      <c r="H44" s="10">
        <f t="shared" ca="1" si="0"/>
        <v>7.9959999999999996</v>
      </c>
      <c r="I44" s="10">
        <f t="shared" ca="1" si="1"/>
        <v>87.955999999999989</v>
      </c>
      <c r="R44" s="19" t="s">
        <v>11</v>
      </c>
      <c r="S44" s="16">
        <v>9.9980000000000011</v>
      </c>
      <c r="T44" s="16"/>
      <c r="U44" s="16">
        <v>9.9980000000000011</v>
      </c>
    </row>
    <row r="45" spans="2:21" x14ac:dyDescent="0.25">
      <c r="B45" s="7">
        <v>1043</v>
      </c>
      <c r="C45" s="8">
        <v>45313</v>
      </c>
      <c r="D45" s="7" t="s">
        <v>49</v>
      </c>
      <c r="E45" s="8">
        <v>45316</v>
      </c>
      <c r="F45" s="10">
        <v>149.99</v>
      </c>
      <c r="G45" s="7">
        <v>1</v>
      </c>
      <c r="H45" s="10">
        <f t="shared" ca="1" si="0"/>
        <v>14.999000000000002</v>
      </c>
      <c r="I45" s="10">
        <f t="shared" ca="1" si="1"/>
        <v>164.989</v>
      </c>
      <c r="R45" s="19" t="s">
        <v>20</v>
      </c>
      <c r="S45" s="16">
        <v>19.999000000000002</v>
      </c>
      <c r="T45" s="16"/>
      <c r="U45" s="16">
        <v>19.999000000000002</v>
      </c>
    </row>
    <row r="46" spans="2:21" x14ac:dyDescent="0.25">
      <c r="B46" s="7">
        <v>1044</v>
      </c>
      <c r="C46" s="8">
        <v>45313</v>
      </c>
      <c r="D46" s="7" t="s">
        <v>14</v>
      </c>
      <c r="E46" s="8">
        <v>45316</v>
      </c>
      <c r="F46" s="10">
        <v>69.989999999999995</v>
      </c>
      <c r="G46" s="7">
        <v>2</v>
      </c>
      <c r="H46" s="10">
        <f t="shared" ca="1" si="0"/>
        <v>13.997999999999999</v>
      </c>
      <c r="I46" s="10">
        <f t="shared" ca="1" si="1"/>
        <v>153.97799999999998</v>
      </c>
      <c r="R46" s="19" t="s">
        <v>28</v>
      </c>
      <c r="S46" s="16">
        <v>11.997</v>
      </c>
      <c r="T46" s="16"/>
      <c r="U46" s="16">
        <v>11.997</v>
      </c>
    </row>
    <row r="47" spans="2:21" x14ac:dyDescent="0.25">
      <c r="B47" s="7">
        <v>1045</v>
      </c>
      <c r="C47" s="8">
        <v>45314</v>
      </c>
      <c r="D47" s="7" t="s">
        <v>50</v>
      </c>
      <c r="E47" s="8">
        <v>45318</v>
      </c>
      <c r="F47" s="10">
        <v>39.99</v>
      </c>
      <c r="G47" s="7">
        <v>3</v>
      </c>
      <c r="H47" s="10">
        <f t="shared" ca="1" si="0"/>
        <v>11.997</v>
      </c>
      <c r="I47" s="10">
        <f t="shared" ca="1" si="1"/>
        <v>131.96699999999998</v>
      </c>
      <c r="R47" s="19" t="s">
        <v>16</v>
      </c>
      <c r="S47" s="16">
        <v>15.997999999999999</v>
      </c>
      <c r="T47" s="16"/>
      <c r="U47" s="16">
        <v>15.997999999999999</v>
      </c>
    </row>
    <row r="48" spans="2:21" x14ac:dyDescent="0.25">
      <c r="B48" s="7">
        <v>1046</v>
      </c>
      <c r="C48" s="8">
        <v>45314</v>
      </c>
      <c r="D48" s="7" t="s">
        <v>30</v>
      </c>
      <c r="E48" s="8">
        <v>45317</v>
      </c>
      <c r="F48" s="10">
        <v>199.99</v>
      </c>
      <c r="G48" s="7">
        <v>1</v>
      </c>
      <c r="H48" s="10">
        <f t="shared" ca="1" si="0"/>
        <v>19.999000000000002</v>
      </c>
      <c r="I48" s="10">
        <f t="shared" ca="1" si="1"/>
        <v>219.989</v>
      </c>
      <c r="R48" s="19" t="s">
        <v>49</v>
      </c>
      <c r="S48" s="16">
        <v>27.998000000000005</v>
      </c>
      <c r="T48" s="16"/>
      <c r="U48" s="16">
        <v>27.998000000000005</v>
      </c>
    </row>
    <row r="49" spans="2:21" x14ac:dyDescent="0.25">
      <c r="B49" s="7">
        <v>1047</v>
      </c>
      <c r="C49" s="8">
        <v>45315</v>
      </c>
      <c r="D49" s="7" t="s">
        <v>51</v>
      </c>
      <c r="E49" s="8">
        <v>45316</v>
      </c>
      <c r="F49" s="10">
        <v>29.99</v>
      </c>
      <c r="G49" s="7">
        <v>5</v>
      </c>
      <c r="H49" s="10">
        <f t="shared" ca="1" si="0"/>
        <v>14.994999999999999</v>
      </c>
      <c r="I49" s="10">
        <f t="shared" ca="1" si="1"/>
        <v>164.94499999999999</v>
      </c>
      <c r="R49" s="19" t="s">
        <v>44</v>
      </c>
      <c r="S49" s="16">
        <v>13.997999999999999</v>
      </c>
      <c r="T49" s="16"/>
      <c r="U49" s="16">
        <v>13.997999999999999</v>
      </c>
    </row>
    <row r="50" spans="2:21" x14ac:dyDescent="0.25">
      <c r="B50" s="7">
        <v>1048</v>
      </c>
      <c r="C50" s="8">
        <v>45315</v>
      </c>
      <c r="D50" s="7" t="s">
        <v>52</v>
      </c>
      <c r="E50" s="8">
        <v>45317</v>
      </c>
      <c r="F50" s="10">
        <v>79.989999999999995</v>
      </c>
      <c r="G50" s="7">
        <v>2</v>
      </c>
      <c r="H50" s="10">
        <f t="shared" ca="1" si="0"/>
        <v>15.997999999999999</v>
      </c>
      <c r="I50" s="10">
        <f t="shared" ca="1" si="1"/>
        <v>175.97799999999998</v>
      </c>
      <c r="R50" s="19" t="s">
        <v>36</v>
      </c>
      <c r="S50" s="16">
        <v>11.997</v>
      </c>
      <c r="T50" s="16"/>
      <c r="U50" s="16">
        <v>11.997</v>
      </c>
    </row>
    <row r="51" spans="2:21" x14ac:dyDescent="0.25">
      <c r="B51" s="7">
        <v>1049</v>
      </c>
      <c r="C51" s="8">
        <v>45316</v>
      </c>
      <c r="D51" s="7" t="s">
        <v>53</v>
      </c>
      <c r="E51" s="8">
        <v>45321</v>
      </c>
      <c r="F51" s="10">
        <v>49.99</v>
      </c>
      <c r="G51" s="7">
        <v>3</v>
      </c>
      <c r="H51" s="10">
        <f t="shared" ca="1" si="0"/>
        <v>14.997</v>
      </c>
      <c r="I51" s="10">
        <f t="shared" ca="1" si="1"/>
        <v>164.96699999999998</v>
      </c>
      <c r="R51" s="19" t="s">
        <v>55</v>
      </c>
      <c r="S51" s="16">
        <v>7.9959999999999996</v>
      </c>
      <c r="T51" s="16">
        <v>14.997</v>
      </c>
      <c r="U51" s="16">
        <v>22.992999999999999</v>
      </c>
    </row>
    <row r="52" spans="2:21" x14ac:dyDescent="0.25">
      <c r="B52" s="7">
        <v>1050</v>
      </c>
      <c r="C52" s="8">
        <v>45316</v>
      </c>
      <c r="D52" s="7" t="s">
        <v>54</v>
      </c>
      <c r="E52" s="8">
        <v>45318</v>
      </c>
      <c r="F52" s="10">
        <v>129.99</v>
      </c>
      <c r="G52" s="7">
        <v>1</v>
      </c>
      <c r="H52" s="10">
        <f t="shared" ca="1" si="0"/>
        <v>12.999000000000002</v>
      </c>
      <c r="I52" s="10">
        <f t="shared" ca="1" si="1"/>
        <v>142.989</v>
      </c>
      <c r="R52" s="19" t="s">
        <v>25</v>
      </c>
      <c r="S52" s="16">
        <v>7.9959999999999996</v>
      </c>
      <c r="T52" s="16"/>
      <c r="U52" s="16">
        <v>7.9959999999999996</v>
      </c>
    </row>
    <row r="53" spans="2:21" x14ac:dyDescent="0.25">
      <c r="B53" s="7">
        <v>1051</v>
      </c>
      <c r="C53" s="8">
        <v>45317</v>
      </c>
      <c r="D53" s="7" t="s">
        <v>55</v>
      </c>
      <c r="E53" s="8">
        <v>45320</v>
      </c>
      <c r="F53" s="10">
        <v>19.989999999999998</v>
      </c>
      <c r="G53" s="7">
        <v>4</v>
      </c>
      <c r="H53" s="10">
        <f t="shared" ca="1" si="0"/>
        <v>7.9959999999999996</v>
      </c>
      <c r="I53" s="10">
        <f t="shared" ca="1" si="1"/>
        <v>87.955999999999989</v>
      </c>
      <c r="R53" s="19" t="s">
        <v>22</v>
      </c>
      <c r="S53" s="16">
        <v>15.997999999999999</v>
      </c>
      <c r="T53" s="16"/>
      <c r="U53" s="16">
        <v>15.997999999999999</v>
      </c>
    </row>
    <row r="54" spans="2:21" x14ac:dyDescent="0.25">
      <c r="B54" s="7">
        <v>1052</v>
      </c>
      <c r="C54" s="8">
        <v>45317</v>
      </c>
      <c r="D54" s="7" t="s">
        <v>56</v>
      </c>
      <c r="E54" s="8">
        <v>45319</v>
      </c>
      <c r="F54" s="10">
        <v>149.99</v>
      </c>
      <c r="G54" s="7">
        <v>1</v>
      </c>
      <c r="H54" s="10">
        <f t="shared" ca="1" si="0"/>
        <v>14.999000000000002</v>
      </c>
      <c r="I54" s="10">
        <f t="shared" ca="1" si="1"/>
        <v>164.989</v>
      </c>
      <c r="R54" s="19" t="s">
        <v>59</v>
      </c>
      <c r="S54" s="16">
        <v>19.999000000000002</v>
      </c>
      <c r="T54" s="16"/>
      <c r="U54" s="16">
        <v>19.999000000000002</v>
      </c>
    </row>
    <row r="55" spans="2:21" x14ac:dyDescent="0.25">
      <c r="B55" s="7">
        <v>1053</v>
      </c>
      <c r="C55" s="8">
        <v>45318</v>
      </c>
      <c r="D55" s="7" t="s">
        <v>57</v>
      </c>
      <c r="E55" s="8">
        <v>45322</v>
      </c>
      <c r="F55" s="10">
        <v>69.989999999999995</v>
      </c>
      <c r="G55" s="7">
        <v>2</v>
      </c>
      <c r="H55" s="10">
        <f t="shared" ca="1" si="0"/>
        <v>13.997999999999999</v>
      </c>
      <c r="I55" s="10">
        <f t="shared" ca="1" si="1"/>
        <v>153.97799999999998</v>
      </c>
      <c r="R55" s="19" t="s">
        <v>31</v>
      </c>
      <c r="S55" s="16">
        <v>15.997999999999999</v>
      </c>
      <c r="T55" s="16"/>
      <c r="U55" s="16">
        <v>15.997999999999999</v>
      </c>
    </row>
    <row r="56" spans="2:21" x14ac:dyDescent="0.25">
      <c r="B56" s="7">
        <v>1054</v>
      </c>
      <c r="C56" s="8">
        <v>45318</v>
      </c>
      <c r="D56" s="7" t="s">
        <v>58</v>
      </c>
      <c r="E56" s="8">
        <v>45322</v>
      </c>
      <c r="F56" s="10">
        <v>39.99</v>
      </c>
      <c r="G56" s="7">
        <v>3</v>
      </c>
      <c r="H56" s="10">
        <f t="shared" ca="1" si="0"/>
        <v>11.997</v>
      </c>
      <c r="I56" s="10">
        <f t="shared" ca="1" si="1"/>
        <v>131.96699999999998</v>
      </c>
      <c r="R56" s="19" t="s">
        <v>13</v>
      </c>
      <c r="S56" s="16">
        <v>45.994999999999997</v>
      </c>
      <c r="T56" s="16"/>
      <c r="U56" s="16">
        <v>45.994999999999997</v>
      </c>
    </row>
    <row r="57" spans="2:21" x14ac:dyDescent="0.25">
      <c r="B57" s="7">
        <v>1055</v>
      </c>
      <c r="C57" s="8">
        <v>45319</v>
      </c>
      <c r="D57" s="7" t="s">
        <v>59</v>
      </c>
      <c r="E57" s="8">
        <v>45320</v>
      </c>
      <c r="F57" s="10">
        <v>199.99</v>
      </c>
      <c r="G57" s="7">
        <v>1</v>
      </c>
      <c r="H57" s="10">
        <f t="shared" ca="1" si="0"/>
        <v>19.999000000000002</v>
      </c>
      <c r="I57" s="10">
        <f t="shared" ca="1" si="1"/>
        <v>219.989</v>
      </c>
      <c r="R57" s="19" t="s">
        <v>51</v>
      </c>
      <c r="S57" s="16">
        <v>14.994999999999999</v>
      </c>
      <c r="T57" s="16">
        <v>11.997</v>
      </c>
      <c r="U57" s="16">
        <v>26.991999999999997</v>
      </c>
    </row>
    <row r="58" spans="2:21" x14ac:dyDescent="0.25">
      <c r="B58" s="7">
        <v>1056</v>
      </c>
      <c r="C58" s="8">
        <v>45319</v>
      </c>
      <c r="D58" s="7" t="s">
        <v>60</v>
      </c>
      <c r="E58" s="8">
        <v>45320</v>
      </c>
      <c r="F58" s="10">
        <v>29.99</v>
      </c>
      <c r="G58" s="7">
        <v>5</v>
      </c>
      <c r="H58" s="10">
        <f t="shared" ca="1" si="0"/>
        <v>14.994999999999999</v>
      </c>
      <c r="I58" s="10">
        <f t="shared" ca="1" si="1"/>
        <v>164.94499999999999</v>
      </c>
      <c r="R58" s="19" t="s">
        <v>40</v>
      </c>
      <c r="S58" s="16">
        <v>14.997</v>
      </c>
      <c r="T58" s="16"/>
      <c r="U58" s="16">
        <v>14.997</v>
      </c>
    </row>
    <row r="59" spans="2:21" x14ac:dyDescent="0.25">
      <c r="B59" s="7">
        <v>1057</v>
      </c>
      <c r="C59" s="8">
        <v>45320</v>
      </c>
      <c r="D59" s="7" t="s">
        <v>61</v>
      </c>
      <c r="E59" s="8">
        <v>45321</v>
      </c>
      <c r="F59" s="10">
        <v>79.989999999999995</v>
      </c>
      <c r="G59" s="7">
        <v>2</v>
      </c>
      <c r="H59" s="10">
        <f t="shared" ca="1" si="0"/>
        <v>15.997999999999999</v>
      </c>
      <c r="I59" s="10">
        <f t="shared" ca="1" si="1"/>
        <v>175.97799999999998</v>
      </c>
      <c r="R59" s="19" t="s">
        <v>23</v>
      </c>
      <c r="S59" s="16">
        <v>14.997</v>
      </c>
      <c r="T59" s="16"/>
      <c r="U59" s="16">
        <v>14.997</v>
      </c>
    </row>
    <row r="60" spans="2:21" x14ac:dyDescent="0.25">
      <c r="B60" s="7">
        <v>1058</v>
      </c>
      <c r="C60" s="8">
        <v>45320</v>
      </c>
      <c r="D60" s="7" t="s">
        <v>48</v>
      </c>
      <c r="E60" s="8">
        <v>45322</v>
      </c>
      <c r="F60" s="10">
        <v>49.99</v>
      </c>
      <c r="G60" s="7">
        <v>3</v>
      </c>
      <c r="H60" s="10">
        <f t="shared" ca="1" si="0"/>
        <v>14.997</v>
      </c>
      <c r="I60" s="10">
        <f t="shared" ca="1" si="1"/>
        <v>164.96699999999998</v>
      </c>
      <c r="R60" s="19" t="s">
        <v>18</v>
      </c>
      <c r="S60" s="16">
        <v>13.997999999999999</v>
      </c>
      <c r="T60" s="16"/>
      <c r="U60" s="16">
        <v>13.997999999999999</v>
      </c>
    </row>
    <row r="61" spans="2:21" x14ac:dyDescent="0.25">
      <c r="B61" s="7">
        <v>1059</v>
      </c>
      <c r="C61" s="8">
        <v>45321</v>
      </c>
      <c r="D61" s="7" t="s">
        <v>49</v>
      </c>
      <c r="E61" s="8">
        <v>45322</v>
      </c>
      <c r="F61" s="10">
        <v>129.99</v>
      </c>
      <c r="G61" s="7">
        <v>1</v>
      </c>
      <c r="H61" s="10">
        <f t="shared" ca="1" si="0"/>
        <v>12.999000000000002</v>
      </c>
      <c r="I61" s="10">
        <f t="shared" ca="1" si="1"/>
        <v>142.989</v>
      </c>
      <c r="R61" s="19" t="s">
        <v>43</v>
      </c>
      <c r="S61" s="16">
        <v>14.999000000000002</v>
      </c>
      <c r="T61" s="16"/>
      <c r="U61" s="16">
        <v>14.999000000000002</v>
      </c>
    </row>
    <row r="62" spans="2:21" x14ac:dyDescent="0.25">
      <c r="B62" s="7">
        <v>1060</v>
      </c>
      <c r="C62" s="8">
        <v>45321</v>
      </c>
      <c r="D62" s="7" t="s">
        <v>14</v>
      </c>
      <c r="E62" s="8">
        <v>45323</v>
      </c>
      <c r="F62" s="10">
        <v>19.989999999999998</v>
      </c>
      <c r="G62" s="7">
        <v>4</v>
      </c>
      <c r="H62" s="10">
        <f t="shared" ca="1" si="0"/>
        <v>7.9959999999999996</v>
      </c>
      <c r="I62" s="10">
        <f t="shared" ca="1" si="1"/>
        <v>87.955999999999989</v>
      </c>
      <c r="R62" s="19" t="s">
        <v>54</v>
      </c>
      <c r="S62" s="16">
        <v>12.999000000000002</v>
      </c>
      <c r="T62" s="16">
        <v>15.997999999999999</v>
      </c>
      <c r="U62" s="16">
        <v>28.997</v>
      </c>
    </row>
    <row r="63" spans="2:21" x14ac:dyDescent="0.25">
      <c r="B63" s="7">
        <v>1061</v>
      </c>
      <c r="C63" s="8">
        <v>45322</v>
      </c>
      <c r="D63" s="7" t="s">
        <v>50</v>
      </c>
      <c r="E63" s="8">
        <v>45324</v>
      </c>
      <c r="F63" s="10">
        <v>149.99</v>
      </c>
      <c r="G63" s="7">
        <v>1</v>
      </c>
      <c r="H63" s="10">
        <f t="shared" ca="1" si="0"/>
        <v>14.999000000000002</v>
      </c>
      <c r="I63" s="10">
        <f t="shared" ca="1" si="1"/>
        <v>164.989</v>
      </c>
      <c r="R63" s="19" t="s">
        <v>48</v>
      </c>
      <c r="S63" s="16">
        <v>22.992999999999999</v>
      </c>
      <c r="T63" s="16"/>
      <c r="U63" s="16">
        <v>22.992999999999999</v>
      </c>
    </row>
    <row r="64" spans="2:21" x14ac:dyDescent="0.25">
      <c r="B64" s="7">
        <v>1062</v>
      </c>
      <c r="C64" s="8">
        <v>45322</v>
      </c>
      <c r="D64" s="7" t="s">
        <v>30</v>
      </c>
      <c r="E64" s="8">
        <v>45326</v>
      </c>
      <c r="F64" s="10">
        <v>69.989999999999995</v>
      </c>
      <c r="G64" s="7">
        <v>2</v>
      </c>
      <c r="H64" s="10">
        <f t="shared" ca="1" si="0"/>
        <v>13.997999999999999</v>
      </c>
      <c r="I64" s="10">
        <f t="shared" ca="1" si="1"/>
        <v>153.97799999999998</v>
      </c>
      <c r="R64" s="19" t="s">
        <v>35</v>
      </c>
      <c r="S64" s="16">
        <v>13.997999999999999</v>
      </c>
      <c r="T64" s="16"/>
      <c r="U64" s="16">
        <v>13.997999999999999</v>
      </c>
    </row>
    <row r="65" spans="2:21" x14ac:dyDescent="0.25">
      <c r="B65" s="7">
        <v>1063</v>
      </c>
      <c r="C65" s="8">
        <v>45323</v>
      </c>
      <c r="D65" s="7" t="s">
        <v>51</v>
      </c>
      <c r="E65" s="8">
        <v>45324</v>
      </c>
      <c r="F65" s="10">
        <v>39.99</v>
      </c>
      <c r="G65" s="7">
        <v>3</v>
      </c>
      <c r="H65" s="10">
        <f t="shared" ca="1" si="0"/>
        <v>11.997</v>
      </c>
      <c r="I65" s="10">
        <f t="shared" ca="1" si="1"/>
        <v>131.96699999999998</v>
      </c>
      <c r="R65" s="19" t="s">
        <v>21</v>
      </c>
      <c r="S65" s="16">
        <v>14.994999999999999</v>
      </c>
      <c r="T65" s="16"/>
      <c r="U65" s="16">
        <v>14.994999999999999</v>
      </c>
    </row>
    <row r="66" spans="2:21" x14ac:dyDescent="0.25">
      <c r="B66" s="7">
        <v>1064</v>
      </c>
      <c r="C66" s="8">
        <v>45323</v>
      </c>
      <c r="D66" s="7" t="s">
        <v>52</v>
      </c>
      <c r="E66" s="8">
        <v>45327</v>
      </c>
      <c r="F66" s="10">
        <v>199.99</v>
      </c>
      <c r="G66" s="7">
        <v>1</v>
      </c>
      <c r="H66" s="10">
        <f t="shared" ca="1" si="0"/>
        <v>19.999000000000002</v>
      </c>
      <c r="I66" s="10">
        <f t="shared" ca="1" si="1"/>
        <v>219.989</v>
      </c>
      <c r="R66" s="19" t="s">
        <v>98</v>
      </c>
      <c r="S66" s="16">
        <v>835.85900000000049</v>
      </c>
      <c r="T66" s="16">
        <v>150.97299999999998</v>
      </c>
      <c r="U66" s="16">
        <v>986.83200000000033</v>
      </c>
    </row>
    <row r="67" spans="2:21" x14ac:dyDescent="0.25">
      <c r="B67" s="7">
        <v>1065</v>
      </c>
      <c r="C67" s="8">
        <v>45323</v>
      </c>
      <c r="D67" s="7" t="s">
        <v>53</v>
      </c>
      <c r="E67" s="8">
        <v>45325</v>
      </c>
      <c r="F67" s="10">
        <v>29.99</v>
      </c>
      <c r="G67" s="7">
        <v>5</v>
      </c>
      <c r="H67" s="10">
        <f t="shared" ca="1" si="0"/>
        <v>14.994999999999999</v>
      </c>
      <c r="I67" s="10">
        <f t="shared" ca="1" si="1"/>
        <v>164.94499999999999</v>
      </c>
    </row>
    <row r="68" spans="2:21" x14ac:dyDescent="0.25">
      <c r="B68" s="7">
        <v>1066</v>
      </c>
      <c r="C68" s="8">
        <v>45324</v>
      </c>
      <c r="D68" s="7" t="s">
        <v>54</v>
      </c>
      <c r="E68" s="8">
        <v>45328</v>
      </c>
      <c r="F68" s="10">
        <v>79.989999999999995</v>
      </c>
      <c r="G68" s="7">
        <v>2</v>
      </c>
      <c r="H68" s="10">
        <f t="shared" ref="H68:H72" ca="1" si="2">F68*G68*$I$6</f>
        <v>15.997999999999999</v>
      </c>
      <c r="I68" s="10">
        <f t="shared" ref="I68:I72" ca="1" si="3">F68*G68+H68</f>
        <v>175.97799999999998</v>
      </c>
    </row>
    <row r="69" spans="2:21" x14ac:dyDescent="0.25">
      <c r="B69" s="7">
        <v>1067</v>
      </c>
      <c r="C69" s="8">
        <v>45325</v>
      </c>
      <c r="D69" s="7" t="s">
        <v>55</v>
      </c>
      <c r="E69" s="8">
        <v>45328</v>
      </c>
      <c r="F69" s="10">
        <v>49.99</v>
      </c>
      <c r="G69" s="7">
        <v>3</v>
      </c>
      <c r="H69" s="10">
        <f t="shared" ca="1" si="2"/>
        <v>14.997</v>
      </c>
      <c r="I69" s="10">
        <f t="shared" ca="1" si="3"/>
        <v>164.96699999999998</v>
      </c>
    </row>
    <row r="70" spans="2:21" x14ac:dyDescent="0.25">
      <c r="B70" s="7">
        <v>1068</v>
      </c>
      <c r="C70" s="8">
        <v>45326</v>
      </c>
      <c r="D70" s="7" t="s">
        <v>56</v>
      </c>
      <c r="E70" s="8">
        <v>45327</v>
      </c>
      <c r="F70" s="10">
        <v>129.99</v>
      </c>
      <c r="G70" s="7">
        <v>1</v>
      </c>
      <c r="H70" s="10">
        <f t="shared" ca="1" si="2"/>
        <v>12.999000000000002</v>
      </c>
      <c r="I70" s="10">
        <f t="shared" ca="1" si="3"/>
        <v>142.989</v>
      </c>
    </row>
    <row r="71" spans="2:21" x14ac:dyDescent="0.25">
      <c r="B71" s="7">
        <v>1069</v>
      </c>
      <c r="C71" s="8">
        <v>45326</v>
      </c>
      <c r="D71" s="7" t="s">
        <v>57</v>
      </c>
      <c r="E71" s="8">
        <v>45330</v>
      </c>
      <c r="F71" s="10">
        <v>19.989999999999998</v>
      </c>
      <c r="G71" s="7">
        <v>4</v>
      </c>
      <c r="H71" s="10">
        <f t="shared" ca="1" si="2"/>
        <v>7.9959999999999996</v>
      </c>
      <c r="I71" s="10">
        <f t="shared" ca="1" si="3"/>
        <v>87.955999999999989</v>
      </c>
    </row>
    <row r="72" spans="2:21" x14ac:dyDescent="0.25">
      <c r="B72" s="7">
        <v>1070</v>
      </c>
      <c r="C72" s="8">
        <v>45326</v>
      </c>
      <c r="D72" s="7" t="s">
        <v>58</v>
      </c>
      <c r="E72" s="8">
        <v>45329</v>
      </c>
      <c r="F72" s="10">
        <v>149.99</v>
      </c>
      <c r="G72" s="7">
        <v>1</v>
      </c>
      <c r="H72" s="10">
        <f t="shared" ca="1" si="2"/>
        <v>14.999000000000002</v>
      </c>
      <c r="I72" s="10">
        <f t="shared" ca="1" si="3"/>
        <v>164.989</v>
      </c>
    </row>
    <row r="73" spans="2:21" x14ac:dyDescent="0.25">
      <c r="F73" t="s">
        <v>92</v>
      </c>
    </row>
    <row r="74" spans="2:21" x14ac:dyDescent="0.25">
      <c r="F74" s="16">
        <f>AVERAGE(F3:F72)</f>
        <v>84.418571428571283</v>
      </c>
    </row>
  </sheetData>
  <autoFilter ref="B2:I2" xr:uid="{EC2238E5-CE77-4C84-BEED-B736043363A0}"/>
  <conditionalFormatting sqref="B3:B72">
    <cfRule type="expression" dxfId="0" priority="2">
      <formula>AND($I3&gt;150,$G3&gt;2)</formula>
    </cfRule>
  </conditionalFormatting>
  <conditionalFormatting sqref="F3:F72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{0B58437A-8537-48B5-9BFB-D8F81EB5A5B5}</x14:id>
        </ext>
      </extLst>
    </cfRule>
  </conditionalFormatting>
  <pageMargins left="0.7" right="0.7" top="0.75" bottom="0.75" header="0.3" footer="0.3"/>
  <pageSetup orientation="portrait" r:id="rId2"/>
  <drawing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B58437A-8537-48B5-9BFB-D8F81EB5A5B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F3:F72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SuperMarket Sales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Seemanto Saha</dc:creator>
  <cp:lastModifiedBy>MITS</cp:lastModifiedBy>
  <dcterms:created xsi:type="dcterms:W3CDTF">2024-02-19T11:17:54Z</dcterms:created>
  <dcterms:modified xsi:type="dcterms:W3CDTF">2026-06-05T05:48:47Z</dcterms:modified>
</cp:coreProperties>
</file>